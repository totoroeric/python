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"/>
    </mc:Choice>
  </mc:AlternateContent>
  <xr:revisionPtr revIDLastSave="0" documentId="13_ncr:1_{030605B3-3A45-4C21-B7F3-D463BE70CA18}" xr6:coauthVersionLast="38" xr6:coauthVersionMax="38" xr10:uidLastSave="{00000000-0000-0000-0000-000000000000}"/>
  <bookViews>
    <workbookView xWindow="0" yWindow="465" windowWidth="28800" windowHeight="17535" xr2:uid="{00000000-000D-0000-FFFF-FFFF00000000}"/>
  </bookViews>
  <sheets>
    <sheet name="Sheet1" sheetId="2" r:id="rId1"/>
    <sheet name="Sheet3" sheetId="3" r:id="rId2"/>
    <sheet name="Sheet2" sheetId="4" r:id="rId3"/>
    <sheet name="Sheet4" sheetId="5" r:id="rId4"/>
    <sheet name="Sheet5" sheetId="6" r:id="rId5"/>
  </sheets>
  <definedNames>
    <definedName name="_xlnm._FilterDatabase" localSheetId="0" hidden="1">Sheet1!$A$1:$N$599</definedName>
    <definedName name="_xlnm._FilterDatabase" localSheetId="4" hidden="1">Sheet5!$A$1:$AA$325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31" i="2" l="1"/>
  <c r="G131" i="2"/>
  <c r="H131" i="2"/>
  <c r="I131" i="2"/>
  <c r="J131" i="2"/>
  <c r="K131" i="2"/>
  <c r="L131" i="2"/>
  <c r="M131" i="2"/>
  <c r="N131" i="2"/>
  <c r="F132" i="2"/>
  <c r="G132" i="2"/>
  <c r="H132" i="2"/>
  <c r="I132" i="2"/>
  <c r="J132" i="2"/>
  <c r="K132" i="2"/>
  <c r="L132" i="2"/>
  <c r="M132" i="2"/>
  <c r="N132" i="2"/>
  <c r="F133" i="2"/>
  <c r="G133" i="2"/>
  <c r="H133" i="2"/>
  <c r="I133" i="2"/>
  <c r="J133" i="2"/>
  <c r="K133" i="2"/>
  <c r="L133" i="2"/>
  <c r="M133" i="2"/>
  <c r="N133" i="2"/>
  <c r="F134" i="2"/>
  <c r="G134" i="2"/>
  <c r="H134" i="2"/>
  <c r="I134" i="2"/>
  <c r="J134" i="2"/>
  <c r="K134" i="2"/>
  <c r="L134" i="2"/>
  <c r="M134" i="2"/>
  <c r="N134" i="2"/>
  <c r="F135" i="2"/>
  <c r="G135" i="2"/>
  <c r="H135" i="2"/>
  <c r="I135" i="2"/>
  <c r="J135" i="2"/>
  <c r="K135" i="2"/>
  <c r="L135" i="2"/>
  <c r="M135" i="2"/>
  <c r="N135" i="2"/>
  <c r="F136" i="2"/>
  <c r="G136" i="2"/>
  <c r="H136" i="2"/>
  <c r="I136" i="2"/>
  <c r="J136" i="2"/>
  <c r="K136" i="2"/>
  <c r="L136" i="2"/>
  <c r="M136" i="2"/>
  <c r="N136" i="2"/>
  <c r="F137" i="2"/>
  <c r="G137" i="2"/>
  <c r="H137" i="2"/>
  <c r="I137" i="2"/>
  <c r="J137" i="2"/>
  <c r="K137" i="2"/>
  <c r="L137" i="2"/>
  <c r="M137" i="2"/>
  <c r="N137" i="2"/>
  <c r="F138" i="2"/>
  <c r="G138" i="2"/>
  <c r="H138" i="2"/>
  <c r="I138" i="2"/>
  <c r="J138" i="2"/>
  <c r="K138" i="2"/>
  <c r="L138" i="2"/>
  <c r="M138" i="2"/>
  <c r="N138" i="2"/>
  <c r="F3" i="2"/>
  <c r="G3" i="2"/>
  <c r="H3" i="2"/>
  <c r="I3" i="2"/>
  <c r="J3" i="2"/>
  <c r="K3" i="2"/>
  <c r="L3" i="2"/>
  <c r="M3" i="2"/>
  <c r="N3" i="2"/>
  <c r="F4" i="2"/>
  <c r="G4" i="2"/>
  <c r="H4" i="2"/>
  <c r="I4" i="2"/>
  <c r="J4" i="2"/>
  <c r="K4" i="2"/>
  <c r="L4" i="2"/>
  <c r="M4" i="2"/>
  <c r="N4" i="2"/>
  <c r="F5" i="2"/>
  <c r="G5" i="2"/>
  <c r="H5" i="2"/>
  <c r="I5" i="2"/>
  <c r="J5" i="2"/>
  <c r="K5" i="2"/>
  <c r="L5" i="2"/>
  <c r="M5" i="2"/>
  <c r="N5" i="2"/>
  <c r="F6" i="2"/>
  <c r="G6" i="2"/>
  <c r="H6" i="2"/>
  <c r="I6" i="2"/>
  <c r="J6" i="2"/>
  <c r="K6" i="2"/>
  <c r="L6" i="2"/>
  <c r="M6" i="2"/>
  <c r="N6" i="2"/>
  <c r="F7" i="2"/>
  <c r="G7" i="2"/>
  <c r="H7" i="2"/>
  <c r="I7" i="2"/>
  <c r="J7" i="2"/>
  <c r="K7" i="2"/>
  <c r="L7" i="2"/>
  <c r="M7" i="2"/>
  <c r="N7" i="2"/>
  <c r="F8" i="2"/>
  <c r="G8" i="2"/>
  <c r="H8" i="2"/>
  <c r="I8" i="2"/>
  <c r="J8" i="2"/>
  <c r="K8" i="2"/>
  <c r="L8" i="2"/>
  <c r="M8" i="2"/>
  <c r="N8" i="2"/>
  <c r="F9" i="2"/>
  <c r="G9" i="2"/>
  <c r="H9" i="2"/>
  <c r="I9" i="2"/>
  <c r="J9" i="2"/>
  <c r="K9" i="2"/>
  <c r="L9" i="2"/>
  <c r="M9" i="2"/>
  <c r="N9" i="2"/>
  <c r="F10" i="2"/>
  <c r="G10" i="2"/>
  <c r="H10" i="2"/>
  <c r="I10" i="2"/>
  <c r="J10" i="2"/>
  <c r="K10" i="2"/>
  <c r="L10" i="2"/>
  <c r="M10" i="2"/>
  <c r="N10" i="2"/>
  <c r="F11" i="2"/>
  <c r="G11" i="2"/>
  <c r="H11" i="2"/>
  <c r="I11" i="2"/>
  <c r="J11" i="2"/>
  <c r="K11" i="2"/>
  <c r="L11" i="2"/>
  <c r="M11" i="2"/>
  <c r="N11" i="2"/>
  <c r="F12" i="2"/>
  <c r="G12" i="2"/>
  <c r="H12" i="2"/>
  <c r="I12" i="2"/>
  <c r="J12" i="2"/>
  <c r="K12" i="2"/>
  <c r="L12" i="2"/>
  <c r="M12" i="2"/>
  <c r="N12" i="2"/>
  <c r="F13" i="2"/>
  <c r="G13" i="2"/>
  <c r="H13" i="2"/>
  <c r="I13" i="2"/>
  <c r="J13" i="2"/>
  <c r="K13" i="2"/>
  <c r="L13" i="2"/>
  <c r="M13" i="2"/>
  <c r="N13" i="2"/>
  <c r="F14" i="2"/>
  <c r="G14" i="2"/>
  <c r="H14" i="2"/>
  <c r="I14" i="2"/>
  <c r="J14" i="2"/>
  <c r="K14" i="2"/>
  <c r="L14" i="2"/>
  <c r="M14" i="2"/>
  <c r="N14" i="2"/>
  <c r="F15" i="2"/>
  <c r="G15" i="2"/>
  <c r="H15" i="2"/>
  <c r="I15" i="2"/>
  <c r="J15" i="2"/>
  <c r="K15" i="2"/>
  <c r="L15" i="2"/>
  <c r="M15" i="2"/>
  <c r="N15" i="2"/>
  <c r="F16" i="2"/>
  <c r="G16" i="2"/>
  <c r="H16" i="2"/>
  <c r="I16" i="2"/>
  <c r="J16" i="2"/>
  <c r="K16" i="2"/>
  <c r="L16" i="2"/>
  <c r="M16" i="2"/>
  <c r="N16" i="2"/>
  <c r="F17" i="2"/>
  <c r="G17" i="2"/>
  <c r="H17" i="2"/>
  <c r="I17" i="2"/>
  <c r="J17" i="2"/>
  <c r="K17" i="2"/>
  <c r="L17" i="2"/>
  <c r="M17" i="2"/>
  <c r="N17" i="2"/>
  <c r="F18" i="2"/>
  <c r="G18" i="2"/>
  <c r="H18" i="2"/>
  <c r="I18" i="2"/>
  <c r="J18" i="2"/>
  <c r="K18" i="2"/>
  <c r="L18" i="2"/>
  <c r="M18" i="2"/>
  <c r="N18" i="2"/>
  <c r="F19" i="2"/>
  <c r="G19" i="2"/>
  <c r="H19" i="2"/>
  <c r="I19" i="2"/>
  <c r="J19" i="2"/>
  <c r="K19" i="2"/>
  <c r="L19" i="2"/>
  <c r="M19" i="2"/>
  <c r="N19" i="2"/>
  <c r="F20" i="2"/>
  <c r="G20" i="2"/>
  <c r="H20" i="2"/>
  <c r="I20" i="2"/>
  <c r="J20" i="2"/>
  <c r="K20" i="2"/>
  <c r="L20" i="2"/>
  <c r="M20" i="2"/>
  <c r="N20" i="2"/>
  <c r="F21" i="2"/>
  <c r="G21" i="2"/>
  <c r="H21" i="2"/>
  <c r="I21" i="2"/>
  <c r="J21" i="2"/>
  <c r="K21" i="2"/>
  <c r="L21" i="2"/>
  <c r="M21" i="2"/>
  <c r="N21" i="2"/>
  <c r="F22" i="2"/>
  <c r="G22" i="2"/>
  <c r="H22" i="2"/>
  <c r="I22" i="2"/>
  <c r="J22" i="2"/>
  <c r="K22" i="2"/>
  <c r="L22" i="2"/>
  <c r="M22" i="2"/>
  <c r="N22" i="2"/>
  <c r="F23" i="2"/>
  <c r="G23" i="2"/>
  <c r="H23" i="2"/>
  <c r="I23" i="2"/>
  <c r="J23" i="2"/>
  <c r="K23" i="2"/>
  <c r="L23" i="2"/>
  <c r="M23" i="2"/>
  <c r="N23" i="2"/>
  <c r="F24" i="2"/>
  <c r="G24" i="2"/>
  <c r="H24" i="2"/>
  <c r="I24" i="2"/>
  <c r="J24" i="2"/>
  <c r="K24" i="2"/>
  <c r="L24" i="2"/>
  <c r="M24" i="2"/>
  <c r="N24" i="2"/>
  <c r="F25" i="2"/>
  <c r="G25" i="2"/>
  <c r="H25" i="2"/>
  <c r="I25" i="2"/>
  <c r="J25" i="2"/>
  <c r="K25" i="2"/>
  <c r="L25" i="2"/>
  <c r="M25" i="2"/>
  <c r="N25" i="2"/>
  <c r="F26" i="2"/>
  <c r="G26" i="2"/>
  <c r="H26" i="2"/>
  <c r="I26" i="2"/>
  <c r="J26" i="2"/>
  <c r="K26" i="2"/>
  <c r="L26" i="2"/>
  <c r="M26" i="2"/>
  <c r="N26" i="2"/>
  <c r="F27" i="2"/>
  <c r="G27" i="2"/>
  <c r="H27" i="2"/>
  <c r="I27" i="2"/>
  <c r="J27" i="2"/>
  <c r="K27" i="2"/>
  <c r="L27" i="2"/>
  <c r="M27" i="2"/>
  <c r="N27" i="2"/>
  <c r="F28" i="2"/>
  <c r="G28" i="2"/>
  <c r="H28" i="2"/>
  <c r="I28" i="2"/>
  <c r="J28" i="2"/>
  <c r="K28" i="2"/>
  <c r="L28" i="2"/>
  <c r="M28" i="2"/>
  <c r="N28" i="2"/>
  <c r="F29" i="2"/>
  <c r="G29" i="2"/>
  <c r="H29" i="2"/>
  <c r="I29" i="2"/>
  <c r="J29" i="2"/>
  <c r="K29" i="2"/>
  <c r="L29" i="2"/>
  <c r="M29" i="2"/>
  <c r="N29" i="2"/>
  <c r="F30" i="2"/>
  <c r="G30" i="2"/>
  <c r="H30" i="2"/>
  <c r="I30" i="2"/>
  <c r="J30" i="2"/>
  <c r="K30" i="2"/>
  <c r="L30" i="2"/>
  <c r="M30" i="2"/>
  <c r="N30" i="2"/>
  <c r="F31" i="2"/>
  <c r="G31" i="2"/>
  <c r="H31" i="2"/>
  <c r="I31" i="2"/>
  <c r="J31" i="2"/>
  <c r="K31" i="2"/>
  <c r="L31" i="2"/>
  <c r="M31" i="2"/>
  <c r="N31" i="2"/>
  <c r="F32" i="2"/>
  <c r="G32" i="2"/>
  <c r="H32" i="2"/>
  <c r="I32" i="2"/>
  <c r="J32" i="2"/>
  <c r="K32" i="2"/>
  <c r="L32" i="2"/>
  <c r="M32" i="2"/>
  <c r="N32" i="2"/>
  <c r="F33" i="2"/>
  <c r="G33" i="2"/>
  <c r="H33" i="2"/>
  <c r="I33" i="2"/>
  <c r="J33" i="2"/>
  <c r="K33" i="2"/>
  <c r="L33" i="2"/>
  <c r="M33" i="2"/>
  <c r="N33" i="2"/>
  <c r="F34" i="2"/>
  <c r="G34" i="2"/>
  <c r="H34" i="2"/>
  <c r="I34" i="2"/>
  <c r="J34" i="2"/>
  <c r="K34" i="2"/>
  <c r="L34" i="2"/>
  <c r="M34" i="2"/>
  <c r="N34" i="2"/>
  <c r="F35" i="2"/>
  <c r="G35" i="2"/>
  <c r="H35" i="2"/>
  <c r="I35" i="2"/>
  <c r="J35" i="2"/>
  <c r="K35" i="2"/>
  <c r="L35" i="2"/>
  <c r="M35" i="2"/>
  <c r="N35" i="2"/>
  <c r="F36" i="2"/>
  <c r="G36" i="2"/>
  <c r="H36" i="2"/>
  <c r="I36" i="2"/>
  <c r="J36" i="2"/>
  <c r="K36" i="2"/>
  <c r="L36" i="2"/>
  <c r="M36" i="2"/>
  <c r="N36" i="2"/>
  <c r="F37" i="2"/>
  <c r="G37" i="2"/>
  <c r="H37" i="2"/>
  <c r="I37" i="2"/>
  <c r="J37" i="2"/>
  <c r="K37" i="2"/>
  <c r="L37" i="2"/>
  <c r="M37" i="2"/>
  <c r="N37" i="2"/>
  <c r="F38" i="2"/>
  <c r="G38" i="2"/>
  <c r="H38" i="2"/>
  <c r="I38" i="2"/>
  <c r="J38" i="2"/>
  <c r="K38" i="2"/>
  <c r="L38" i="2"/>
  <c r="M38" i="2"/>
  <c r="N38" i="2"/>
  <c r="F39" i="2"/>
  <c r="G39" i="2"/>
  <c r="H39" i="2"/>
  <c r="I39" i="2"/>
  <c r="J39" i="2"/>
  <c r="K39" i="2"/>
  <c r="L39" i="2"/>
  <c r="M39" i="2"/>
  <c r="N39" i="2"/>
  <c r="F40" i="2"/>
  <c r="G40" i="2"/>
  <c r="H40" i="2"/>
  <c r="I40" i="2"/>
  <c r="J40" i="2"/>
  <c r="K40" i="2"/>
  <c r="L40" i="2"/>
  <c r="M40" i="2"/>
  <c r="N40" i="2"/>
  <c r="F41" i="2"/>
  <c r="G41" i="2"/>
  <c r="H41" i="2"/>
  <c r="I41" i="2"/>
  <c r="J41" i="2"/>
  <c r="K41" i="2"/>
  <c r="L41" i="2"/>
  <c r="M41" i="2"/>
  <c r="N41" i="2"/>
  <c r="F42" i="2"/>
  <c r="G42" i="2"/>
  <c r="H42" i="2"/>
  <c r="I42" i="2"/>
  <c r="J42" i="2"/>
  <c r="K42" i="2"/>
  <c r="L42" i="2"/>
  <c r="M42" i="2"/>
  <c r="N42" i="2"/>
  <c r="F43" i="2"/>
  <c r="G43" i="2"/>
  <c r="H43" i="2"/>
  <c r="I43" i="2"/>
  <c r="J43" i="2"/>
  <c r="K43" i="2"/>
  <c r="L43" i="2"/>
  <c r="M43" i="2"/>
  <c r="N43" i="2"/>
  <c r="F44" i="2"/>
  <c r="G44" i="2"/>
  <c r="H44" i="2"/>
  <c r="I44" i="2"/>
  <c r="J44" i="2"/>
  <c r="K44" i="2"/>
  <c r="L44" i="2"/>
  <c r="M44" i="2"/>
  <c r="N44" i="2"/>
  <c r="F45" i="2"/>
  <c r="G45" i="2"/>
  <c r="H45" i="2"/>
  <c r="I45" i="2"/>
  <c r="J45" i="2"/>
  <c r="K45" i="2"/>
  <c r="L45" i="2"/>
  <c r="M45" i="2"/>
  <c r="N45" i="2"/>
  <c r="F46" i="2"/>
  <c r="G46" i="2"/>
  <c r="H46" i="2"/>
  <c r="I46" i="2"/>
  <c r="J46" i="2"/>
  <c r="K46" i="2"/>
  <c r="L46" i="2"/>
  <c r="M46" i="2"/>
  <c r="N46" i="2"/>
  <c r="F47" i="2"/>
  <c r="G47" i="2"/>
  <c r="H47" i="2"/>
  <c r="I47" i="2"/>
  <c r="J47" i="2"/>
  <c r="K47" i="2"/>
  <c r="L47" i="2"/>
  <c r="M47" i="2"/>
  <c r="N47" i="2"/>
  <c r="F48" i="2"/>
  <c r="G48" i="2"/>
  <c r="H48" i="2"/>
  <c r="I48" i="2"/>
  <c r="J48" i="2"/>
  <c r="K48" i="2"/>
  <c r="L48" i="2"/>
  <c r="M48" i="2"/>
  <c r="N48" i="2"/>
  <c r="F49" i="2"/>
  <c r="G49" i="2"/>
  <c r="H49" i="2"/>
  <c r="I49" i="2"/>
  <c r="J49" i="2"/>
  <c r="K49" i="2"/>
  <c r="L49" i="2"/>
  <c r="M49" i="2"/>
  <c r="N49" i="2"/>
  <c r="F50" i="2"/>
  <c r="G50" i="2"/>
  <c r="H50" i="2"/>
  <c r="I50" i="2"/>
  <c r="J50" i="2"/>
  <c r="K50" i="2"/>
  <c r="L50" i="2"/>
  <c r="M50" i="2"/>
  <c r="N50" i="2"/>
  <c r="F51" i="2"/>
  <c r="G51" i="2"/>
  <c r="H51" i="2"/>
  <c r="I51" i="2"/>
  <c r="J51" i="2"/>
  <c r="K51" i="2"/>
  <c r="L51" i="2"/>
  <c r="M51" i="2"/>
  <c r="N51" i="2"/>
  <c r="F52" i="2"/>
  <c r="G52" i="2"/>
  <c r="H52" i="2"/>
  <c r="I52" i="2"/>
  <c r="J52" i="2"/>
  <c r="K52" i="2"/>
  <c r="L52" i="2"/>
  <c r="M52" i="2"/>
  <c r="N52" i="2"/>
  <c r="F53" i="2"/>
  <c r="G53" i="2"/>
  <c r="H53" i="2"/>
  <c r="I53" i="2"/>
  <c r="J53" i="2"/>
  <c r="K53" i="2"/>
  <c r="L53" i="2"/>
  <c r="M53" i="2"/>
  <c r="N53" i="2"/>
  <c r="F54" i="2"/>
  <c r="G54" i="2"/>
  <c r="H54" i="2"/>
  <c r="I54" i="2"/>
  <c r="J54" i="2"/>
  <c r="K54" i="2"/>
  <c r="L54" i="2"/>
  <c r="M54" i="2"/>
  <c r="N54" i="2"/>
  <c r="F55" i="2"/>
  <c r="G55" i="2"/>
  <c r="H55" i="2"/>
  <c r="I55" i="2"/>
  <c r="J55" i="2"/>
  <c r="K55" i="2"/>
  <c r="L55" i="2"/>
  <c r="M55" i="2"/>
  <c r="N55" i="2"/>
  <c r="F56" i="2"/>
  <c r="G56" i="2"/>
  <c r="H56" i="2"/>
  <c r="I56" i="2"/>
  <c r="J56" i="2"/>
  <c r="K56" i="2"/>
  <c r="L56" i="2"/>
  <c r="M56" i="2"/>
  <c r="N56" i="2"/>
  <c r="F57" i="2"/>
  <c r="G57" i="2"/>
  <c r="H57" i="2"/>
  <c r="I57" i="2"/>
  <c r="J57" i="2"/>
  <c r="K57" i="2"/>
  <c r="L57" i="2"/>
  <c r="M57" i="2"/>
  <c r="N57" i="2"/>
  <c r="F58" i="2"/>
  <c r="G58" i="2"/>
  <c r="H58" i="2"/>
  <c r="I58" i="2"/>
  <c r="J58" i="2"/>
  <c r="K58" i="2"/>
  <c r="L58" i="2"/>
  <c r="M58" i="2"/>
  <c r="N58" i="2"/>
  <c r="F59" i="2"/>
  <c r="G59" i="2"/>
  <c r="H59" i="2"/>
  <c r="I59" i="2"/>
  <c r="J59" i="2"/>
  <c r="K59" i="2"/>
  <c r="L59" i="2"/>
  <c r="M59" i="2"/>
  <c r="N59" i="2"/>
  <c r="F60" i="2"/>
  <c r="G60" i="2"/>
  <c r="H60" i="2"/>
  <c r="I60" i="2"/>
  <c r="J60" i="2"/>
  <c r="K60" i="2"/>
  <c r="L60" i="2"/>
  <c r="M60" i="2"/>
  <c r="N60" i="2"/>
  <c r="F61" i="2"/>
  <c r="G61" i="2"/>
  <c r="H61" i="2"/>
  <c r="I61" i="2"/>
  <c r="J61" i="2"/>
  <c r="K61" i="2"/>
  <c r="L61" i="2"/>
  <c r="M61" i="2"/>
  <c r="N61" i="2"/>
  <c r="F62" i="2"/>
  <c r="G62" i="2"/>
  <c r="H62" i="2"/>
  <c r="I62" i="2"/>
  <c r="J62" i="2"/>
  <c r="K62" i="2"/>
  <c r="L62" i="2"/>
  <c r="M62" i="2"/>
  <c r="N62" i="2"/>
  <c r="F63" i="2"/>
  <c r="G63" i="2"/>
  <c r="H63" i="2"/>
  <c r="I63" i="2"/>
  <c r="J63" i="2"/>
  <c r="K63" i="2"/>
  <c r="L63" i="2"/>
  <c r="M63" i="2"/>
  <c r="N63" i="2"/>
  <c r="F64" i="2"/>
  <c r="G64" i="2"/>
  <c r="H64" i="2"/>
  <c r="I64" i="2"/>
  <c r="J64" i="2"/>
  <c r="K64" i="2"/>
  <c r="L64" i="2"/>
  <c r="M64" i="2"/>
  <c r="N64" i="2"/>
  <c r="F65" i="2"/>
  <c r="G65" i="2"/>
  <c r="H65" i="2"/>
  <c r="I65" i="2"/>
  <c r="J65" i="2"/>
  <c r="K65" i="2"/>
  <c r="L65" i="2"/>
  <c r="M65" i="2"/>
  <c r="N65" i="2"/>
  <c r="F66" i="2"/>
  <c r="G66" i="2"/>
  <c r="H66" i="2"/>
  <c r="I66" i="2"/>
  <c r="J66" i="2"/>
  <c r="K66" i="2"/>
  <c r="L66" i="2"/>
  <c r="M66" i="2"/>
  <c r="N66" i="2"/>
  <c r="F67" i="2"/>
  <c r="G67" i="2"/>
  <c r="H67" i="2"/>
  <c r="I67" i="2"/>
  <c r="J67" i="2"/>
  <c r="K67" i="2"/>
  <c r="L67" i="2"/>
  <c r="M67" i="2"/>
  <c r="N67" i="2"/>
  <c r="F68" i="2"/>
  <c r="G68" i="2"/>
  <c r="H68" i="2"/>
  <c r="I68" i="2"/>
  <c r="J68" i="2"/>
  <c r="K68" i="2"/>
  <c r="L68" i="2"/>
  <c r="M68" i="2"/>
  <c r="N68" i="2"/>
  <c r="F69" i="2"/>
  <c r="G69" i="2"/>
  <c r="H69" i="2"/>
  <c r="I69" i="2"/>
  <c r="J69" i="2"/>
  <c r="K69" i="2"/>
  <c r="L69" i="2"/>
  <c r="M69" i="2"/>
  <c r="N69" i="2"/>
  <c r="F70" i="2"/>
  <c r="G70" i="2"/>
  <c r="H70" i="2"/>
  <c r="I70" i="2"/>
  <c r="J70" i="2"/>
  <c r="K70" i="2"/>
  <c r="L70" i="2"/>
  <c r="M70" i="2"/>
  <c r="N70" i="2"/>
  <c r="F71" i="2"/>
  <c r="G71" i="2"/>
  <c r="H71" i="2"/>
  <c r="I71" i="2"/>
  <c r="J71" i="2"/>
  <c r="K71" i="2"/>
  <c r="L71" i="2"/>
  <c r="M71" i="2"/>
  <c r="N71" i="2"/>
  <c r="F72" i="2"/>
  <c r="G72" i="2"/>
  <c r="H72" i="2"/>
  <c r="I72" i="2"/>
  <c r="J72" i="2"/>
  <c r="K72" i="2"/>
  <c r="L72" i="2"/>
  <c r="M72" i="2"/>
  <c r="N72" i="2"/>
  <c r="F73" i="2"/>
  <c r="G73" i="2"/>
  <c r="H73" i="2"/>
  <c r="I73" i="2"/>
  <c r="J73" i="2"/>
  <c r="K73" i="2"/>
  <c r="L73" i="2"/>
  <c r="M73" i="2"/>
  <c r="N73" i="2"/>
  <c r="F74" i="2"/>
  <c r="G74" i="2"/>
  <c r="H74" i="2"/>
  <c r="I74" i="2"/>
  <c r="J74" i="2"/>
  <c r="K74" i="2"/>
  <c r="L74" i="2"/>
  <c r="M74" i="2"/>
  <c r="N74" i="2"/>
  <c r="F75" i="2"/>
  <c r="G75" i="2"/>
  <c r="H75" i="2"/>
  <c r="I75" i="2"/>
  <c r="J75" i="2"/>
  <c r="K75" i="2"/>
  <c r="L75" i="2"/>
  <c r="M75" i="2"/>
  <c r="N75" i="2"/>
  <c r="F76" i="2"/>
  <c r="G76" i="2"/>
  <c r="H76" i="2"/>
  <c r="I76" i="2"/>
  <c r="J76" i="2"/>
  <c r="K76" i="2"/>
  <c r="L76" i="2"/>
  <c r="M76" i="2"/>
  <c r="N76" i="2"/>
  <c r="F77" i="2"/>
  <c r="G77" i="2"/>
  <c r="H77" i="2"/>
  <c r="I77" i="2"/>
  <c r="J77" i="2"/>
  <c r="K77" i="2"/>
  <c r="L77" i="2"/>
  <c r="M77" i="2"/>
  <c r="N77" i="2"/>
  <c r="F78" i="2"/>
  <c r="G78" i="2"/>
  <c r="H78" i="2"/>
  <c r="I78" i="2"/>
  <c r="J78" i="2"/>
  <c r="K78" i="2"/>
  <c r="L78" i="2"/>
  <c r="M78" i="2"/>
  <c r="N78" i="2"/>
  <c r="F79" i="2"/>
  <c r="G79" i="2"/>
  <c r="H79" i="2"/>
  <c r="I79" i="2"/>
  <c r="J79" i="2"/>
  <c r="K79" i="2"/>
  <c r="L79" i="2"/>
  <c r="M79" i="2"/>
  <c r="N79" i="2"/>
  <c r="F80" i="2"/>
  <c r="G80" i="2"/>
  <c r="H80" i="2"/>
  <c r="I80" i="2"/>
  <c r="J80" i="2"/>
  <c r="K80" i="2"/>
  <c r="L80" i="2"/>
  <c r="M80" i="2"/>
  <c r="N80" i="2"/>
  <c r="F81" i="2"/>
  <c r="G81" i="2"/>
  <c r="H81" i="2"/>
  <c r="I81" i="2"/>
  <c r="J81" i="2"/>
  <c r="K81" i="2"/>
  <c r="L81" i="2"/>
  <c r="M81" i="2"/>
  <c r="N81" i="2"/>
  <c r="F82" i="2"/>
  <c r="G82" i="2"/>
  <c r="H82" i="2"/>
  <c r="I82" i="2"/>
  <c r="J82" i="2"/>
  <c r="K82" i="2"/>
  <c r="L82" i="2"/>
  <c r="M82" i="2"/>
  <c r="N82" i="2"/>
  <c r="F83" i="2"/>
  <c r="G83" i="2"/>
  <c r="H83" i="2"/>
  <c r="I83" i="2"/>
  <c r="J83" i="2"/>
  <c r="K83" i="2"/>
  <c r="L83" i="2"/>
  <c r="M83" i="2"/>
  <c r="N83" i="2"/>
  <c r="F84" i="2"/>
  <c r="G84" i="2"/>
  <c r="H84" i="2"/>
  <c r="I84" i="2"/>
  <c r="J84" i="2"/>
  <c r="K84" i="2"/>
  <c r="L84" i="2"/>
  <c r="M84" i="2"/>
  <c r="N84" i="2"/>
  <c r="F85" i="2"/>
  <c r="G85" i="2"/>
  <c r="H85" i="2"/>
  <c r="I85" i="2"/>
  <c r="J85" i="2"/>
  <c r="K85" i="2"/>
  <c r="L85" i="2"/>
  <c r="M85" i="2"/>
  <c r="N85" i="2"/>
  <c r="F86" i="2"/>
  <c r="G86" i="2"/>
  <c r="H86" i="2"/>
  <c r="I86" i="2"/>
  <c r="J86" i="2"/>
  <c r="K86" i="2"/>
  <c r="L86" i="2"/>
  <c r="M86" i="2"/>
  <c r="N86" i="2"/>
  <c r="F87" i="2"/>
  <c r="G87" i="2"/>
  <c r="H87" i="2"/>
  <c r="I87" i="2"/>
  <c r="J87" i="2"/>
  <c r="K87" i="2"/>
  <c r="L87" i="2"/>
  <c r="M87" i="2"/>
  <c r="N87" i="2"/>
  <c r="F88" i="2"/>
  <c r="G88" i="2"/>
  <c r="H88" i="2"/>
  <c r="I88" i="2"/>
  <c r="J88" i="2"/>
  <c r="K88" i="2"/>
  <c r="L88" i="2"/>
  <c r="M88" i="2"/>
  <c r="N88" i="2"/>
  <c r="F89" i="2"/>
  <c r="G89" i="2"/>
  <c r="H89" i="2"/>
  <c r="I89" i="2"/>
  <c r="J89" i="2"/>
  <c r="K89" i="2"/>
  <c r="L89" i="2"/>
  <c r="M89" i="2"/>
  <c r="N89" i="2"/>
  <c r="F90" i="2"/>
  <c r="G90" i="2"/>
  <c r="H90" i="2"/>
  <c r="I90" i="2"/>
  <c r="J90" i="2"/>
  <c r="K90" i="2"/>
  <c r="L90" i="2"/>
  <c r="M90" i="2"/>
  <c r="N90" i="2"/>
  <c r="F91" i="2"/>
  <c r="G91" i="2"/>
  <c r="H91" i="2"/>
  <c r="I91" i="2"/>
  <c r="J91" i="2"/>
  <c r="K91" i="2"/>
  <c r="L91" i="2"/>
  <c r="M91" i="2"/>
  <c r="N91" i="2"/>
  <c r="F92" i="2"/>
  <c r="G92" i="2"/>
  <c r="H92" i="2"/>
  <c r="I92" i="2"/>
  <c r="J92" i="2"/>
  <c r="K92" i="2"/>
  <c r="L92" i="2"/>
  <c r="M92" i="2"/>
  <c r="N92" i="2"/>
  <c r="F93" i="2"/>
  <c r="G93" i="2"/>
  <c r="H93" i="2"/>
  <c r="I93" i="2"/>
  <c r="J93" i="2"/>
  <c r="K93" i="2"/>
  <c r="L93" i="2"/>
  <c r="M93" i="2"/>
  <c r="N93" i="2"/>
  <c r="F94" i="2"/>
  <c r="G94" i="2"/>
  <c r="H94" i="2"/>
  <c r="I94" i="2"/>
  <c r="J94" i="2"/>
  <c r="K94" i="2"/>
  <c r="L94" i="2"/>
  <c r="M94" i="2"/>
  <c r="N94" i="2"/>
  <c r="F95" i="2"/>
  <c r="G95" i="2"/>
  <c r="H95" i="2"/>
  <c r="I95" i="2"/>
  <c r="J95" i="2"/>
  <c r="K95" i="2"/>
  <c r="L95" i="2"/>
  <c r="M95" i="2"/>
  <c r="N95" i="2"/>
  <c r="F96" i="2"/>
  <c r="G96" i="2"/>
  <c r="H96" i="2"/>
  <c r="I96" i="2"/>
  <c r="J96" i="2"/>
  <c r="K96" i="2"/>
  <c r="L96" i="2"/>
  <c r="M96" i="2"/>
  <c r="N96" i="2"/>
  <c r="F97" i="2"/>
  <c r="G97" i="2"/>
  <c r="H97" i="2"/>
  <c r="I97" i="2"/>
  <c r="J97" i="2"/>
  <c r="K97" i="2"/>
  <c r="L97" i="2"/>
  <c r="M97" i="2"/>
  <c r="N97" i="2"/>
  <c r="F98" i="2"/>
  <c r="G98" i="2"/>
  <c r="H98" i="2"/>
  <c r="I98" i="2"/>
  <c r="J98" i="2"/>
  <c r="K98" i="2"/>
  <c r="L98" i="2"/>
  <c r="M98" i="2"/>
  <c r="N98" i="2"/>
  <c r="F99" i="2"/>
  <c r="G99" i="2"/>
  <c r="H99" i="2"/>
  <c r="I99" i="2"/>
  <c r="J99" i="2"/>
  <c r="K99" i="2"/>
  <c r="L99" i="2"/>
  <c r="M99" i="2"/>
  <c r="N99" i="2"/>
  <c r="F100" i="2"/>
  <c r="G100" i="2"/>
  <c r="H100" i="2"/>
  <c r="I100" i="2"/>
  <c r="J100" i="2"/>
  <c r="K100" i="2"/>
  <c r="L100" i="2"/>
  <c r="M100" i="2"/>
  <c r="N100" i="2"/>
  <c r="F101" i="2"/>
  <c r="G101" i="2"/>
  <c r="H101" i="2"/>
  <c r="I101" i="2"/>
  <c r="J101" i="2"/>
  <c r="K101" i="2"/>
  <c r="L101" i="2"/>
  <c r="M101" i="2"/>
  <c r="N101" i="2"/>
  <c r="F102" i="2"/>
  <c r="G102" i="2"/>
  <c r="H102" i="2"/>
  <c r="I102" i="2"/>
  <c r="J102" i="2"/>
  <c r="K102" i="2"/>
  <c r="L102" i="2"/>
  <c r="M102" i="2"/>
  <c r="N102" i="2"/>
  <c r="F103" i="2"/>
  <c r="G103" i="2"/>
  <c r="H103" i="2"/>
  <c r="I103" i="2"/>
  <c r="J103" i="2"/>
  <c r="K103" i="2"/>
  <c r="L103" i="2"/>
  <c r="M103" i="2"/>
  <c r="N103" i="2"/>
  <c r="F104" i="2"/>
  <c r="G104" i="2"/>
  <c r="H104" i="2"/>
  <c r="I104" i="2"/>
  <c r="J104" i="2"/>
  <c r="K104" i="2"/>
  <c r="L104" i="2"/>
  <c r="M104" i="2"/>
  <c r="N104" i="2"/>
  <c r="F105" i="2"/>
  <c r="G105" i="2"/>
  <c r="H105" i="2"/>
  <c r="I105" i="2"/>
  <c r="J105" i="2"/>
  <c r="K105" i="2"/>
  <c r="L105" i="2"/>
  <c r="M105" i="2"/>
  <c r="N105" i="2"/>
  <c r="F106" i="2"/>
  <c r="G106" i="2"/>
  <c r="H106" i="2"/>
  <c r="I106" i="2"/>
  <c r="J106" i="2"/>
  <c r="K106" i="2"/>
  <c r="L106" i="2"/>
  <c r="M106" i="2"/>
  <c r="N106" i="2"/>
  <c r="F107" i="2"/>
  <c r="G107" i="2"/>
  <c r="H107" i="2"/>
  <c r="I107" i="2"/>
  <c r="J107" i="2"/>
  <c r="K107" i="2"/>
  <c r="L107" i="2"/>
  <c r="M107" i="2"/>
  <c r="N107" i="2"/>
  <c r="F108" i="2"/>
  <c r="G108" i="2"/>
  <c r="H108" i="2"/>
  <c r="I108" i="2"/>
  <c r="J108" i="2"/>
  <c r="K108" i="2"/>
  <c r="L108" i="2"/>
  <c r="M108" i="2"/>
  <c r="N108" i="2"/>
  <c r="F109" i="2"/>
  <c r="G109" i="2"/>
  <c r="H109" i="2"/>
  <c r="I109" i="2"/>
  <c r="J109" i="2"/>
  <c r="K109" i="2"/>
  <c r="L109" i="2"/>
  <c r="M109" i="2"/>
  <c r="N109" i="2"/>
  <c r="F110" i="2"/>
  <c r="G110" i="2"/>
  <c r="H110" i="2"/>
  <c r="I110" i="2"/>
  <c r="J110" i="2"/>
  <c r="K110" i="2"/>
  <c r="L110" i="2"/>
  <c r="M110" i="2"/>
  <c r="N110" i="2"/>
  <c r="F111" i="2"/>
  <c r="G111" i="2"/>
  <c r="H111" i="2"/>
  <c r="I111" i="2"/>
  <c r="J111" i="2"/>
  <c r="K111" i="2"/>
  <c r="L111" i="2"/>
  <c r="M111" i="2"/>
  <c r="N111" i="2"/>
  <c r="F112" i="2"/>
  <c r="G112" i="2"/>
  <c r="H112" i="2"/>
  <c r="I112" i="2"/>
  <c r="J112" i="2"/>
  <c r="K112" i="2"/>
  <c r="L112" i="2"/>
  <c r="M112" i="2"/>
  <c r="N112" i="2"/>
  <c r="F113" i="2"/>
  <c r="G113" i="2"/>
  <c r="H113" i="2"/>
  <c r="I113" i="2"/>
  <c r="J113" i="2"/>
  <c r="K113" i="2"/>
  <c r="L113" i="2"/>
  <c r="M113" i="2"/>
  <c r="N113" i="2"/>
  <c r="F114" i="2"/>
  <c r="G114" i="2"/>
  <c r="H114" i="2"/>
  <c r="I114" i="2"/>
  <c r="J114" i="2"/>
  <c r="K114" i="2"/>
  <c r="L114" i="2"/>
  <c r="M114" i="2"/>
  <c r="N114" i="2"/>
  <c r="F115" i="2"/>
  <c r="G115" i="2"/>
  <c r="H115" i="2"/>
  <c r="I115" i="2"/>
  <c r="J115" i="2"/>
  <c r="K115" i="2"/>
  <c r="L115" i="2"/>
  <c r="M115" i="2"/>
  <c r="N115" i="2"/>
  <c r="F116" i="2"/>
  <c r="G116" i="2"/>
  <c r="H116" i="2"/>
  <c r="I116" i="2"/>
  <c r="J116" i="2"/>
  <c r="K116" i="2"/>
  <c r="L116" i="2"/>
  <c r="M116" i="2"/>
  <c r="N116" i="2"/>
  <c r="F117" i="2"/>
  <c r="G117" i="2"/>
  <c r="H117" i="2"/>
  <c r="I117" i="2"/>
  <c r="J117" i="2"/>
  <c r="K117" i="2"/>
  <c r="L117" i="2"/>
  <c r="M117" i="2"/>
  <c r="N117" i="2"/>
  <c r="F118" i="2"/>
  <c r="G118" i="2"/>
  <c r="H118" i="2"/>
  <c r="I118" i="2"/>
  <c r="J118" i="2"/>
  <c r="K118" i="2"/>
  <c r="L118" i="2"/>
  <c r="M118" i="2"/>
  <c r="N118" i="2"/>
  <c r="F119" i="2"/>
  <c r="G119" i="2"/>
  <c r="H119" i="2"/>
  <c r="I119" i="2"/>
  <c r="J119" i="2"/>
  <c r="K119" i="2"/>
  <c r="L119" i="2"/>
  <c r="M119" i="2"/>
  <c r="N119" i="2"/>
  <c r="F120" i="2"/>
  <c r="G120" i="2"/>
  <c r="H120" i="2"/>
  <c r="I120" i="2"/>
  <c r="J120" i="2"/>
  <c r="K120" i="2"/>
  <c r="L120" i="2"/>
  <c r="M120" i="2"/>
  <c r="N120" i="2"/>
  <c r="F121" i="2"/>
  <c r="G121" i="2"/>
  <c r="H121" i="2"/>
  <c r="I121" i="2"/>
  <c r="J121" i="2"/>
  <c r="K121" i="2"/>
  <c r="L121" i="2"/>
  <c r="M121" i="2"/>
  <c r="N121" i="2"/>
  <c r="F122" i="2"/>
  <c r="G122" i="2"/>
  <c r="H122" i="2"/>
  <c r="I122" i="2"/>
  <c r="J122" i="2"/>
  <c r="K122" i="2"/>
  <c r="L122" i="2"/>
  <c r="M122" i="2"/>
  <c r="N122" i="2"/>
  <c r="F123" i="2"/>
  <c r="G123" i="2"/>
  <c r="H123" i="2"/>
  <c r="I123" i="2"/>
  <c r="J123" i="2"/>
  <c r="K123" i="2"/>
  <c r="L123" i="2"/>
  <c r="M123" i="2"/>
  <c r="N123" i="2"/>
  <c r="F124" i="2"/>
  <c r="G124" i="2"/>
  <c r="H124" i="2"/>
  <c r="I124" i="2"/>
  <c r="J124" i="2"/>
  <c r="K124" i="2"/>
  <c r="L124" i="2"/>
  <c r="M124" i="2"/>
  <c r="N124" i="2"/>
  <c r="F125" i="2"/>
  <c r="G125" i="2"/>
  <c r="H125" i="2"/>
  <c r="I125" i="2"/>
  <c r="J125" i="2"/>
  <c r="K125" i="2"/>
  <c r="L125" i="2"/>
  <c r="M125" i="2"/>
  <c r="N125" i="2"/>
  <c r="F126" i="2"/>
  <c r="G126" i="2"/>
  <c r="H126" i="2"/>
  <c r="I126" i="2"/>
  <c r="J126" i="2"/>
  <c r="K126" i="2"/>
  <c r="L126" i="2"/>
  <c r="M126" i="2"/>
  <c r="N126" i="2"/>
  <c r="F127" i="2"/>
  <c r="G127" i="2"/>
  <c r="H127" i="2"/>
  <c r="I127" i="2"/>
  <c r="J127" i="2"/>
  <c r="K127" i="2"/>
  <c r="L127" i="2"/>
  <c r="M127" i="2"/>
  <c r="N127" i="2"/>
  <c r="F128" i="2"/>
  <c r="G128" i="2"/>
  <c r="H128" i="2"/>
  <c r="I128" i="2"/>
  <c r="J128" i="2"/>
  <c r="K128" i="2"/>
  <c r="L128" i="2"/>
  <c r="M128" i="2"/>
  <c r="N128" i="2"/>
  <c r="F129" i="2"/>
  <c r="G129" i="2"/>
  <c r="H129" i="2"/>
  <c r="I129" i="2"/>
  <c r="J129" i="2"/>
  <c r="K129" i="2"/>
  <c r="L129" i="2"/>
  <c r="M129" i="2"/>
  <c r="N129" i="2"/>
  <c r="F130" i="2"/>
  <c r="G130" i="2"/>
  <c r="H130" i="2"/>
  <c r="I130" i="2"/>
  <c r="J130" i="2"/>
  <c r="K130" i="2"/>
  <c r="L130" i="2"/>
  <c r="M130" i="2"/>
  <c r="N130" i="2"/>
  <c r="F139" i="2"/>
  <c r="G139" i="2"/>
  <c r="H139" i="2"/>
  <c r="I139" i="2"/>
  <c r="J139" i="2"/>
  <c r="K139" i="2"/>
  <c r="L139" i="2"/>
  <c r="M139" i="2"/>
  <c r="N139" i="2"/>
  <c r="F140" i="2"/>
  <c r="G140" i="2"/>
  <c r="H140" i="2"/>
  <c r="I140" i="2"/>
  <c r="J140" i="2"/>
  <c r="K140" i="2"/>
  <c r="L140" i="2"/>
  <c r="M140" i="2"/>
  <c r="N140" i="2"/>
  <c r="F141" i="2"/>
  <c r="G141" i="2"/>
  <c r="H141" i="2"/>
  <c r="I141" i="2"/>
  <c r="J141" i="2"/>
  <c r="K141" i="2"/>
  <c r="L141" i="2"/>
  <c r="M141" i="2"/>
  <c r="N141" i="2"/>
  <c r="F142" i="2"/>
  <c r="G142" i="2"/>
  <c r="H142" i="2"/>
  <c r="I142" i="2"/>
  <c r="J142" i="2"/>
  <c r="K142" i="2"/>
  <c r="L142" i="2"/>
  <c r="M142" i="2"/>
  <c r="N142" i="2"/>
  <c r="F143" i="2"/>
  <c r="G143" i="2"/>
  <c r="H143" i="2"/>
  <c r="I143" i="2"/>
  <c r="J143" i="2"/>
  <c r="K143" i="2"/>
  <c r="L143" i="2"/>
  <c r="M143" i="2"/>
  <c r="N143" i="2"/>
  <c r="F144" i="2"/>
  <c r="G144" i="2"/>
  <c r="H144" i="2"/>
  <c r="I144" i="2"/>
  <c r="J144" i="2"/>
  <c r="K144" i="2"/>
  <c r="L144" i="2"/>
  <c r="M144" i="2"/>
  <c r="N144" i="2"/>
  <c r="F145" i="2"/>
  <c r="G145" i="2"/>
  <c r="H145" i="2"/>
  <c r="I145" i="2"/>
  <c r="J145" i="2"/>
  <c r="K145" i="2"/>
  <c r="L145" i="2"/>
  <c r="M145" i="2"/>
  <c r="N145" i="2"/>
  <c r="F146" i="2"/>
  <c r="G146" i="2"/>
  <c r="H146" i="2"/>
  <c r="I146" i="2"/>
  <c r="J146" i="2"/>
  <c r="K146" i="2"/>
  <c r="L146" i="2"/>
  <c r="M146" i="2"/>
  <c r="N146" i="2"/>
  <c r="F147" i="2"/>
  <c r="G147" i="2"/>
  <c r="H147" i="2"/>
  <c r="I147" i="2"/>
  <c r="J147" i="2"/>
  <c r="K147" i="2"/>
  <c r="L147" i="2"/>
  <c r="M147" i="2"/>
  <c r="N147" i="2"/>
  <c r="F148" i="2"/>
  <c r="G148" i="2"/>
  <c r="H148" i="2"/>
  <c r="I148" i="2"/>
  <c r="J148" i="2"/>
  <c r="K148" i="2"/>
  <c r="L148" i="2"/>
  <c r="M148" i="2"/>
  <c r="N148" i="2"/>
  <c r="F149" i="2"/>
  <c r="G149" i="2"/>
  <c r="H149" i="2"/>
  <c r="I149" i="2"/>
  <c r="J149" i="2"/>
  <c r="K149" i="2"/>
  <c r="L149" i="2"/>
  <c r="M149" i="2"/>
  <c r="N149" i="2"/>
  <c r="F150" i="2"/>
  <c r="G150" i="2"/>
  <c r="H150" i="2"/>
  <c r="I150" i="2"/>
  <c r="J150" i="2"/>
  <c r="K150" i="2"/>
  <c r="L150" i="2"/>
  <c r="M150" i="2"/>
  <c r="N150" i="2"/>
  <c r="F151" i="2"/>
  <c r="G151" i="2"/>
  <c r="H151" i="2"/>
  <c r="I151" i="2"/>
  <c r="J151" i="2"/>
  <c r="K151" i="2"/>
  <c r="L151" i="2"/>
  <c r="M151" i="2"/>
  <c r="N151" i="2"/>
  <c r="F152" i="2"/>
  <c r="G152" i="2"/>
  <c r="H152" i="2"/>
  <c r="I152" i="2"/>
  <c r="J152" i="2"/>
  <c r="K152" i="2"/>
  <c r="L152" i="2"/>
  <c r="M152" i="2"/>
  <c r="N152" i="2"/>
  <c r="F153" i="2"/>
  <c r="G153" i="2"/>
  <c r="H153" i="2"/>
  <c r="I153" i="2"/>
  <c r="J153" i="2"/>
  <c r="K153" i="2"/>
  <c r="L153" i="2"/>
  <c r="M153" i="2"/>
  <c r="N153" i="2"/>
  <c r="F154" i="2"/>
  <c r="G154" i="2"/>
  <c r="H154" i="2"/>
  <c r="I154" i="2"/>
  <c r="J154" i="2"/>
  <c r="K154" i="2"/>
  <c r="L154" i="2"/>
  <c r="M154" i="2"/>
  <c r="N154" i="2"/>
  <c r="F155" i="2"/>
  <c r="G155" i="2"/>
  <c r="H155" i="2"/>
  <c r="I155" i="2"/>
  <c r="J155" i="2"/>
  <c r="K155" i="2"/>
  <c r="L155" i="2"/>
  <c r="M155" i="2"/>
  <c r="N155" i="2"/>
  <c r="F156" i="2"/>
  <c r="G156" i="2"/>
  <c r="H156" i="2"/>
  <c r="I156" i="2"/>
  <c r="J156" i="2"/>
  <c r="K156" i="2"/>
  <c r="L156" i="2"/>
  <c r="M156" i="2"/>
  <c r="N156" i="2"/>
  <c r="F157" i="2"/>
  <c r="G157" i="2"/>
  <c r="H157" i="2"/>
  <c r="I157" i="2"/>
  <c r="J157" i="2"/>
  <c r="K157" i="2"/>
  <c r="L157" i="2"/>
  <c r="M157" i="2"/>
  <c r="N157" i="2"/>
  <c r="F158" i="2"/>
  <c r="G158" i="2"/>
  <c r="H158" i="2"/>
  <c r="I158" i="2"/>
  <c r="J158" i="2"/>
  <c r="K158" i="2"/>
  <c r="L158" i="2"/>
  <c r="M158" i="2"/>
  <c r="N158" i="2"/>
  <c r="F159" i="2"/>
  <c r="G159" i="2"/>
  <c r="H159" i="2"/>
  <c r="I159" i="2"/>
  <c r="J159" i="2"/>
  <c r="K159" i="2"/>
  <c r="L159" i="2"/>
  <c r="M159" i="2"/>
  <c r="N159" i="2"/>
  <c r="F160" i="2"/>
  <c r="G160" i="2"/>
  <c r="H160" i="2"/>
  <c r="I160" i="2"/>
  <c r="J160" i="2"/>
  <c r="K160" i="2"/>
  <c r="L160" i="2"/>
  <c r="M160" i="2"/>
  <c r="N160" i="2"/>
  <c r="F161" i="2"/>
  <c r="G161" i="2"/>
  <c r="H161" i="2"/>
  <c r="I161" i="2"/>
  <c r="J161" i="2"/>
  <c r="K161" i="2"/>
  <c r="L161" i="2"/>
  <c r="M161" i="2"/>
  <c r="N161" i="2"/>
  <c r="F162" i="2"/>
  <c r="G162" i="2"/>
  <c r="H162" i="2"/>
  <c r="I162" i="2"/>
  <c r="J162" i="2"/>
  <c r="K162" i="2"/>
  <c r="L162" i="2"/>
  <c r="M162" i="2"/>
  <c r="N162" i="2"/>
  <c r="F163" i="2"/>
  <c r="G163" i="2"/>
  <c r="H163" i="2"/>
  <c r="I163" i="2"/>
  <c r="J163" i="2"/>
  <c r="K163" i="2"/>
  <c r="L163" i="2"/>
  <c r="M163" i="2"/>
  <c r="N163" i="2"/>
  <c r="F164" i="2"/>
  <c r="G164" i="2"/>
  <c r="H164" i="2"/>
  <c r="I164" i="2"/>
  <c r="J164" i="2"/>
  <c r="K164" i="2"/>
  <c r="L164" i="2"/>
  <c r="M164" i="2"/>
  <c r="N164" i="2"/>
  <c r="F165" i="2"/>
  <c r="G165" i="2"/>
  <c r="H165" i="2"/>
  <c r="I165" i="2"/>
  <c r="J165" i="2"/>
  <c r="K165" i="2"/>
  <c r="L165" i="2"/>
  <c r="M165" i="2"/>
  <c r="N165" i="2"/>
  <c r="F166" i="2"/>
  <c r="G166" i="2"/>
  <c r="H166" i="2"/>
  <c r="I166" i="2"/>
  <c r="J166" i="2"/>
  <c r="K166" i="2"/>
  <c r="L166" i="2"/>
  <c r="M166" i="2"/>
  <c r="N166" i="2"/>
  <c r="F167" i="2"/>
  <c r="G167" i="2"/>
  <c r="H167" i="2"/>
  <c r="I167" i="2"/>
  <c r="J167" i="2"/>
  <c r="K167" i="2"/>
  <c r="L167" i="2"/>
  <c r="M167" i="2"/>
  <c r="N167" i="2"/>
  <c r="F168" i="2"/>
  <c r="G168" i="2"/>
  <c r="H168" i="2"/>
  <c r="I168" i="2"/>
  <c r="J168" i="2"/>
  <c r="K168" i="2"/>
  <c r="L168" i="2"/>
  <c r="M168" i="2"/>
  <c r="N168" i="2"/>
  <c r="F169" i="2"/>
  <c r="G169" i="2"/>
  <c r="H169" i="2"/>
  <c r="I169" i="2"/>
  <c r="J169" i="2"/>
  <c r="K169" i="2"/>
  <c r="L169" i="2"/>
  <c r="M169" i="2"/>
  <c r="N169" i="2"/>
  <c r="F170" i="2"/>
  <c r="G170" i="2"/>
  <c r="H170" i="2"/>
  <c r="I170" i="2"/>
  <c r="J170" i="2"/>
  <c r="K170" i="2"/>
  <c r="L170" i="2"/>
  <c r="M170" i="2"/>
  <c r="N170" i="2"/>
  <c r="F171" i="2"/>
  <c r="G171" i="2"/>
  <c r="H171" i="2"/>
  <c r="I171" i="2"/>
  <c r="J171" i="2"/>
  <c r="K171" i="2"/>
  <c r="L171" i="2"/>
  <c r="M171" i="2"/>
  <c r="N171" i="2"/>
  <c r="F172" i="2"/>
  <c r="G172" i="2"/>
  <c r="H172" i="2"/>
  <c r="I172" i="2"/>
  <c r="J172" i="2"/>
  <c r="K172" i="2"/>
  <c r="L172" i="2"/>
  <c r="M172" i="2"/>
  <c r="N172" i="2"/>
  <c r="F173" i="2"/>
  <c r="G173" i="2"/>
  <c r="H173" i="2"/>
  <c r="I173" i="2"/>
  <c r="J173" i="2"/>
  <c r="K173" i="2"/>
  <c r="L173" i="2"/>
  <c r="M173" i="2"/>
  <c r="N173" i="2"/>
  <c r="F174" i="2"/>
  <c r="G174" i="2"/>
  <c r="H174" i="2"/>
  <c r="I174" i="2"/>
  <c r="J174" i="2"/>
  <c r="K174" i="2"/>
  <c r="L174" i="2"/>
  <c r="M174" i="2"/>
  <c r="N174" i="2"/>
  <c r="F175" i="2"/>
  <c r="G175" i="2"/>
  <c r="H175" i="2"/>
  <c r="I175" i="2"/>
  <c r="J175" i="2"/>
  <c r="K175" i="2"/>
  <c r="L175" i="2"/>
  <c r="M175" i="2"/>
  <c r="N175" i="2"/>
  <c r="F176" i="2"/>
  <c r="G176" i="2"/>
  <c r="H176" i="2"/>
  <c r="I176" i="2"/>
  <c r="J176" i="2"/>
  <c r="K176" i="2"/>
  <c r="L176" i="2"/>
  <c r="M176" i="2"/>
  <c r="N176" i="2"/>
  <c r="F177" i="2"/>
  <c r="G177" i="2"/>
  <c r="H177" i="2"/>
  <c r="I177" i="2"/>
  <c r="J177" i="2"/>
  <c r="K177" i="2"/>
  <c r="L177" i="2"/>
  <c r="M177" i="2"/>
  <c r="N177" i="2"/>
  <c r="F178" i="2"/>
  <c r="G178" i="2"/>
  <c r="H178" i="2"/>
  <c r="I178" i="2"/>
  <c r="J178" i="2"/>
  <c r="K178" i="2"/>
  <c r="L178" i="2"/>
  <c r="M178" i="2"/>
  <c r="N178" i="2"/>
  <c r="F179" i="2"/>
  <c r="G179" i="2"/>
  <c r="H179" i="2"/>
  <c r="I179" i="2"/>
  <c r="J179" i="2"/>
  <c r="K179" i="2"/>
  <c r="L179" i="2"/>
  <c r="M179" i="2"/>
  <c r="N179" i="2"/>
  <c r="F180" i="2"/>
  <c r="G180" i="2"/>
  <c r="H180" i="2"/>
  <c r="I180" i="2"/>
  <c r="J180" i="2"/>
  <c r="K180" i="2"/>
  <c r="L180" i="2"/>
  <c r="M180" i="2"/>
  <c r="N180" i="2"/>
  <c r="F181" i="2"/>
  <c r="G181" i="2"/>
  <c r="H181" i="2"/>
  <c r="I181" i="2"/>
  <c r="J181" i="2"/>
  <c r="K181" i="2"/>
  <c r="L181" i="2"/>
  <c r="M181" i="2"/>
  <c r="N181" i="2"/>
  <c r="F182" i="2"/>
  <c r="G182" i="2"/>
  <c r="H182" i="2"/>
  <c r="I182" i="2"/>
  <c r="J182" i="2"/>
  <c r="K182" i="2"/>
  <c r="L182" i="2"/>
  <c r="M182" i="2"/>
  <c r="N182" i="2"/>
  <c r="F183" i="2"/>
  <c r="G183" i="2"/>
  <c r="H183" i="2"/>
  <c r="I183" i="2"/>
  <c r="J183" i="2"/>
  <c r="K183" i="2"/>
  <c r="L183" i="2"/>
  <c r="M183" i="2"/>
  <c r="N183" i="2"/>
  <c r="F184" i="2"/>
  <c r="G184" i="2"/>
  <c r="H184" i="2"/>
  <c r="I184" i="2"/>
  <c r="J184" i="2"/>
  <c r="K184" i="2"/>
  <c r="L184" i="2"/>
  <c r="M184" i="2"/>
  <c r="N184" i="2"/>
  <c r="F185" i="2"/>
  <c r="G185" i="2"/>
  <c r="H185" i="2"/>
  <c r="I185" i="2"/>
  <c r="J185" i="2"/>
  <c r="K185" i="2"/>
  <c r="L185" i="2"/>
  <c r="M185" i="2"/>
  <c r="N185" i="2"/>
  <c r="F186" i="2"/>
  <c r="G186" i="2"/>
  <c r="H186" i="2"/>
  <c r="I186" i="2"/>
  <c r="J186" i="2"/>
  <c r="K186" i="2"/>
  <c r="L186" i="2"/>
  <c r="M186" i="2"/>
  <c r="N186" i="2"/>
  <c r="F187" i="2"/>
  <c r="G187" i="2"/>
  <c r="H187" i="2"/>
  <c r="I187" i="2"/>
  <c r="J187" i="2"/>
  <c r="K187" i="2"/>
  <c r="L187" i="2"/>
  <c r="M187" i="2"/>
  <c r="N187" i="2"/>
  <c r="F188" i="2"/>
  <c r="G188" i="2"/>
  <c r="H188" i="2"/>
  <c r="I188" i="2"/>
  <c r="J188" i="2"/>
  <c r="K188" i="2"/>
  <c r="L188" i="2"/>
  <c r="M188" i="2"/>
  <c r="N188" i="2"/>
  <c r="F189" i="2"/>
  <c r="G189" i="2"/>
  <c r="H189" i="2"/>
  <c r="I189" i="2"/>
  <c r="J189" i="2"/>
  <c r="K189" i="2"/>
  <c r="L189" i="2"/>
  <c r="M189" i="2"/>
  <c r="N189" i="2"/>
  <c r="F190" i="2"/>
  <c r="G190" i="2"/>
  <c r="H190" i="2"/>
  <c r="I190" i="2"/>
  <c r="J190" i="2"/>
  <c r="K190" i="2"/>
  <c r="L190" i="2"/>
  <c r="M190" i="2"/>
  <c r="N190" i="2"/>
  <c r="F191" i="2"/>
  <c r="G191" i="2"/>
  <c r="H191" i="2"/>
  <c r="I191" i="2"/>
  <c r="J191" i="2"/>
  <c r="K191" i="2"/>
  <c r="L191" i="2"/>
  <c r="M191" i="2"/>
  <c r="N191" i="2"/>
  <c r="F192" i="2"/>
  <c r="G192" i="2"/>
  <c r="H192" i="2"/>
  <c r="I192" i="2"/>
  <c r="J192" i="2"/>
  <c r="K192" i="2"/>
  <c r="L192" i="2"/>
  <c r="M192" i="2"/>
  <c r="N192" i="2"/>
  <c r="F193" i="2"/>
  <c r="G193" i="2"/>
  <c r="H193" i="2"/>
  <c r="I193" i="2"/>
  <c r="J193" i="2"/>
  <c r="K193" i="2"/>
  <c r="L193" i="2"/>
  <c r="M193" i="2"/>
  <c r="N193" i="2"/>
  <c r="F194" i="2"/>
  <c r="G194" i="2"/>
  <c r="H194" i="2"/>
  <c r="I194" i="2"/>
  <c r="J194" i="2"/>
  <c r="K194" i="2"/>
  <c r="L194" i="2"/>
  <c r="M194" i="2"/>
  <c r="N194" i="2"/>
  <c r="F195" i="2"/>
  <c r="G195" i="2"/>
  <c r="H195" i="2"/>
  <c r="I195" i="2"/>
  <c r="J195" i="2"/>
  <c r="K195" i="2"/>
  <c r="L195" i="2"/>
  <c r="M195" i="2"/>
  <c r="N195" i="2"/>
  <c r="F196" i="2"/>
  <c r="G196" i="2"/>
  <c r="H196" i="2"/>
  <c r="I196" i="2"/>
  <c r="J196" i="2"/>
  <c r="K196" i="2"/>
  <c r="L196" i="2"/>
  <c r="M196" i="2"/>
  <c r="N196" i="2"/>
  <c r="F197" i="2"/>
  <c r="G197" i="2"/>
  <c r="H197" i="2"/>
  <c r="I197" i="2"/>
  <c r="J197" i="2"/>
  <c r="K197" i="2"/>
  <c r="L197" i="2"/>
  <c r="M197" i="2"/>
  <c r="N197" i="2"/>
  <c r="F198" i="2"/>
  <c r="G198" i="2"/>
  <c r="H198" i="2"/>
  <c r="I198" i="2"/>
  <c r="J198" i="2"/>
  <c r="K198" i="2"/>
  <c r="L198" i="2"/>
  <c r="M198" i="2"/>
  <c r="N198" i="2"/>
  <c r="F199" i="2"/>
  <c r="G199" i="2"/>
  <c r="H199" i="2"/>
  <c r="I199" i="2"/>
  <c r="J199" i="2"/>
  <c r="K199" i="2"/>
  <c r="L199" i="2"/>
  <c r="M199" i="2"/>
  <c r="N199" i="2"/>
  <c r="F200" i="2"/>
  <c r="G200" i="2"/>
  <c r="H200" i="2"/>
  <c r="I200" i="2"/>
  <c r="J200" i="2"/>
  <c r="K200" i="2"/>
  <c r="L200" i="2"/>
  <c r="M200" i="2"/>
  <c r="N200" i="2"/>
  <c r="F201" i="2"/>
  <c r="G201" i="2"/>
  <c r="H201" i="2"/>
  <c r="I201" i="2"/>
  <c r="J201" i="2"/>
  <c r="K201" i="2"/>
  <c r="L201" i="2"/>
  <c r="M201" i="2"/>
  <c r="N201" i="2"/>
  <c r="F202" i="2"/>
  <c r="G202" i="2"/>
  <c r="H202" i="2"/>
  <c r="I202" i="2"/>
  <c r="J202" i="2"/>
  <c r="K202" i="2"/>
  <c r="L202" i="2"/>
  <c r="M202" i="2"/>
  <c r="N202" i="2"/>
  <c r="F203" i="2"/>
  <c r="G203" i="2"/>
  <c r="H203" i="2"/>
  <c r="I203" i="2"/>
  <c r="J203" i="2"/>
  <c r="K203" i="2"/>
  <c r="L203" i="2"/>
  <c r="M203" i="2"/>
  <c r="N203" i="2"/>
  <c r="F204" i="2"/>
  <c r="G204" i="2"/>
  <c r="H204" i="2"/>
  <c r="I204" i="2"/>
  <c r="J204" i="2"/>
  <c r="K204" i="2"/>
  <c r="L204" i="2"/>
  <c r="M204" i="2"/>
  <c r="N204" i="2"/>
  <c r="F205" i="2"/>
  <c r="G205" i="2"/>
  <c r="H205" i="2"/>
  <c r="I205" i="2"/>
  <c r="J205" i="2"/>
  <c r="K205" i="2"/>
  <c r="L205" i="2"/>
  <c r="M205" i="2"/>
  <c r="N205" i="2"/>
  <c r="F206" i="2"/>
  <c r="G206" i="2"/>
  <c r="H206" i="2"/>
  <c r="I206" i="2"/>
  <c r="J206" i="2"/>
  <c r="K206" i="2"/>
  <c r="L206" i="2"/>
  <c r="M206" i="2"/>
  <c r="N206" i="2"/>
  <c r="F207" i="2"/>
  <c r="G207" i="2"/>
  <c r="H207" i="2"/>
  <c r="I207" i="2"/>
  <c r="J207" i="2"/>
  <c r="K207" i="2"/>
  <c r="L207" i="2"/>
  <c r="M207" i="2"/>
  <c r="N207" i="2"/>
  <c r="F208" i="2"/>
  <c r="G208" i="2"/>
  <c r="H208" i="2"/>
  <c r="I208" i="2"/>
  <c r="J208" i="2"/>
  <c r="K208" i="2"/>
  <c r="L208" i="2"/>
  <c r="M208" i="2"/>
  <c r="N208" i="2"/>
  <c r="F209" i="2"/>
  <c r="G209" i="2"/>
  <c r="H209" i="2"/>
  <c r="I209" i="2"/>
  <c r="J209" i="2"/>
  <c r="K209" i="2"/>
  <c r="L209" i="2"/>
  <c r="M209" i="2"/>
  <c r="N209" i="2"/>
  <c r="F210" i="2"/>
  <c r="G210" i="2"/>
  <c r="H210" i="2"/>
  <c r="I210" i="2"/>
  <c r="J210" i="2"/>
  <c r="K210" i="2"/>
  <c r="L210" i="2"/>
  <c r="M210" i="2"/>
  <c r="N210" i="2"/>
  <c r="F211" i="2"/>
  <c r="G211" i="2"/>
  <c r="H211" i="2"/>
  <c r="I211" i="2"/>
  <c r="J211" i="2"/>
  <c r="K211" i="2"/>
  <c r="L211" i="2"/>
  <c r="M211" i="2"/>
  <c r="N211" i="2"/>
  <c r="F212" i="2"/>
  <c r="G212" i="2"/>
  <c r="H212" i="2"/>
  <c r="I212" i="2"/>
  <c r="J212" i="2"/>
  <c r="K212" i="2"/>
  <c r="L212" i="2"/>
  <c r="M212" i="2"/>
  <c r="N212" i="2"/>
  <c r="F213" i="2"/>
  <c r="G213" i="2"/>
  <c r="H213" i="2"/>
  <c r="I213" i="2"/>
  <c r="J213" i="2"/>
  <c r="K213" i="2"/>
  <c r="L213" i="2"/>
  <c r="M213" i="2"/>
  <c r="N213" i="2"/>
  <c r="F214" i="2"/>
  <c r="G214" i="2"/>
  <c r="H214" i="2"/>
  <c r="I214" i="2"/>
  <c r="J214" i="2"/>
  <c r="K214" i="2"/>
  <c r="L214" i="2"/>
  <c r="M214" i="2"/>
  <c r="N214" i="2"/>
  <c r="F215" i="2"/>
  <c r="G215" i="2"/>
  <c r="H215" i="2"/>
  <c r="I215" i="2"/>
  <c r="J215" i="2"/>
  <c r="K215" i="2"/>
  <c r="L215" i="2"/>
  <c r="M215" i="2"/>
  <c r="N215" i="2"/>
  <c r="F216" i="2"/>
  <c r="G216" i="2"/>
  <c r="H216" i="2"/>
  <c r="I216" i="2"/>
  <c r="J216" i="2"/>
  <c r="K216" i="2"/>
  <c r="L216" i="2"/>
  <c r="M216" i="2"/>
  <c r="N216" i="2"/>
  <c r="F217" i="2"/>
  <c r="G217" i="2"/>
  <c r="H217" i="2"/>
  <c r="I217" i="2"/>
  <c r="J217" i="2"/>
  <c r="K217" i="2"/>
  <c r="L217" i="2"/>
  <c r="M217" i="2"/>
  <c r="N217" i="2"/>
  <c r="F218" i="2"/>
  <c r="G218" i="2"/>
  <c r="H218" i="2"/>
  <c r="I218" i="2"/>
  <c r="J218" i="2"/>
  <c r="K218" i="2"/>
  <c r="L218" i="2"/>
  <c r="M218" i="2"/>
  <c r="N218" i="2"/>
  <c r="F219" i="2"/>
  <c r="G219" i="2"/>
  <c r="H219" i="2"/>
  <c r="I219" i="2"/>
  <c r="J219" i="2"/>
  <c r="K219" i="2"/>
  <c r="L219" i="2"/>
  <c r="M219" i="2"/>
  <c r="N219" i="2"/>
  <c r="F220" i="2"/>
  <c r="G220" i="2"/>
  <c r="H220" i="2"/>
  <c r="I220" i="2"/>
  <c r="J220" i="2"/>
  <c r="K220" i="2"/>
  <c r="L220" i="2"/>
  <c r="M220" i="2"/>
  <c r="N220" i="2"/>
  <c r="F221" i="2"/>
  <c r="G221" i="2"/>
  <c r="H221" i="2"/>
  <c r="I221" i="2"/>
  <c r="J221" i="2"/>
  <c r="K221" i="2"/>
  <c r="L221" i="2"/>
  <c r="M221" i="2"/>
  <c r="N221" i="2"/>
  <c r="F222" i="2"/>
  <c r="G222" i="2"/>
  <c r="H222" i="2"/>
  <c r="I222" i="2"/>
  <c r="J222" i="2"/>
  <c r="K222" i="2"/>
  <c r="L222" i="2"/>
  <c r="M222" i="2"/>
  <c r="N222" i="2"/>
  <c r="F223" i="2"/>
  <c r="G223" i="2"/>
  <c r="H223" i="2"/>
  <c r="I223" i="2"/>
  <c r="J223" i="2"/>
  <c r="K223" i="2"/>
  <c r="L223" i="2"/>
  <c r="M223" i="2"/>
  <c r="N223" i="2"/>
  <c r="F224" i="2"/>
  <c r="G224" i="2"/>
  <c r="H224" i="2"/>
  <c r="I224" i="2"/>
  <c r="J224" i="2"/>
  <c r="K224" i="2"/>
  <c r="L224" i="2"/>
  <c r="M224" i="2"/>
  <c r="N224" i="2"/>
  <c r="F225" i="2"/>
  <c r="G225" i="2"/>
  <c r="H225" i="2"/>
  <c r="I225" i="2"/>
  <c r="J225" i="2"/>
  <c r="K225" i="2"/>
  <c r="L225" i="2"/>
  <c r="M225" i="2"/>
  <c r="N225" i="2"/>
  <c r="F226" i="2"/>
  <c r="G226" i="2"/>
  <c r="H226" i="2"/>
  <c r="I226" i="2"/>
  <c r="J226" i="2"/>
  <c r="K226" i="2"/>
  <c r="L226" i="2"/>
  <c r="M226" i="2"/>
  <c r="N226" i="2"/>
  <c r="F227" i="2"/>
  <c r="G227" i="2"/>
  <c r="H227" i="2"/>
  <c r="I227" i="2"/>
  <c r="J227" i="2"/>
  <c r="K227" i="2"/>
  <c r="L227" i="2"/>
  <c r="M227" i="2"/>
  <c r="N227" i="2"/>
  <c r="F228" i="2"/>
  <c r="G228" i="2"/>
  <c r="H228" i="2"/>
  <c r="I228" i="2"/>
  <c r="J228" i="2"/>
  <c r="K228" i="2"/>
  <c r="L228" i="2"/>
  <c r="M228" i="2"/>
  <c r="N228" i="2"/>
  <c r="F229" i="2"/>
  <c r="G229" i="2"/>
  <c r="H229" i="2"/>
  <c r="I229" i="2"/>
  <c r="J229" i="2"/>
  <c r="K229" i="2"/>
  <c r="L229" i="2"/>
  <c r="M229" i="2"/>
  <c r="N229" i="2"/>
  <c r="F230" i="2"/>
  <c r="G230" i="2"/>
  <c r="H230" i="2"/>
  <c r="I230" i="2"/>
  <c r="J230" i="2"/>
  <c r="K230" i="2"/>
  <c r="L230" i="2"/>
  <c r="M230" i="2"/>
  <c r="N230" i="2"/>
  <c r="F231" i="2"/>
  <c r="G231" i="2"/>
  <c r="H231" i="2"/>
  <c r="I231" i="2"/>
  <c r="J231" i="2"/>
  <c r="K231" i="2"/>
  <c r="L231" i="2"/>
  <c r="M231" i="2"/>
  <c r="N231" i="2"/>
  <c r="F232" i="2"/>
  <c r="G232" i="2"/>
  <c r="H232" i="2"/>
  <c r="I232" i="2"/>
  <c r="J232" i="2"/>
  <c r="K232" i="2"/>
  <c r="L232" i="2"/>
  <c r="M232" i="2"/>
  <c r="N232" i="2"/>
  <c r="F233" i="2"/>
  <c r="G233" i="2"/>
  <c r="H233" i="2"/>
  <c r="I233" i="2"/>
  <c r="J233" i="2"/>
  <c r="K233" i="2"/>
  <c r="L233" i="2"/>
  <c r="M233" i="2"/>
  <c r="N233" i="2"/>
  <c r="F234" i="2"/>
  <c r="G234" i="2"/>
  <c r="H234" i="2"/>
  <c r="I234" i="2"/>
  <c r="J234" i="2"/>
  <c r="K234" i="2"/>
  <c r="L234" i="2"/>
  <c r="M234" i="2"/>
  <c r="N234" i="2"/>
  <c r="F235" i="2"/>
  <c r="G235" i="2"/>
  <c r="H235" i="2"/>
  <c r="I235" i="2"/>
  <c r="J235" i="2"/>
  <c r="K235" i="2"/>
  <c r="L235" i="2"/>
  <c r="M235" i="2"/>
  <c r="N235" i="2"/>
  <c r="F236" i="2"/>
  <c r="G236" i="2"/>
  <c r="H236" i="2"/>
  <c r="I236" i="2"/>
  <c r="J236" i="2"/>
  <c r="K236" i="2"/>
  <c r="L236" i="2"/>
  <c r="M236" i="2"/>
  <c r="N236" i="2"/>
  <c r="F237" i="2"/>
  <c r="G237" i="2"/>
  <c r="H237" i="2"/>
  <c r="I237" i="2"/>
  <c r="J237" i="2"/>
  <c r="K237" i="2"/>
  <c r="L237" i="2"/>
  <c r="M237" i="2"/>
  <c r="N237" i="2"/>
  <c r="F238" i="2"/>
  <c r="G238" i="2"/>
  <c r="H238" i="2"/>
  <c r="I238" i="2"/>
  <c r="J238" i="2"/>
  <c r="K238" i="2"/>
  <c r="L238" i="2"/>
  <c r="M238" i="2"/>
  <c r="N238" i="2"/>
  <c r="F239" i="2"/>
  <c r="G239" i="2"/>
  <c r="H239" i="2"/>
  <c r="I239" i="2"/>
  <c r="J239" i="2"/>
  <c r="K239" i="2"/>
  <c r="L239" i="2"/>
  <c r="M239" i="2"/>
  <c r="N239" i="2"/>
  <c r="F240" i="2"/>
  <c r="G240" i="2"/>
  <c r="H240" i="2"/>
  <c r="I240" i="2"/>
  <c r="J240" i="2"/>
  <c r="K240" i="2"/>
  <c r="L240" i="2"/>
  <c r="M240" i="2"/>
  <c r="N240" i="2"/>
  <c r="F241" i="2"/>
  <c r="G241" i="2"/>
  <c r="H241" i="2"/>
  <c r="I241" i="2"/>
  <c r="J241" i="2"/>
  <c r="K241" i="2"/>
  <c r="L241" i="2"/>
  <c r="M241" i="2"/>
  <c r="N241" i="2"/>
  <c r="F242" i="2"/>
  <c r="G242" i="2"/>
  <c r="H242" i="2"/>
  <c r="I242" i="2"/>
  <c r="J242" i="2"/>
  <c r="K242" i="2"/>
  <c r="L242" i="2"/>
  <c r="M242" i="2"/>
  <c r="N242" i="2"/>
  <c r="F243" i="2"/>
  <c r="G243" i="2"/>
  <c r="H243" i="2"/>
  <c r="I243" i="2"/>
  <c r="J243" i="2"/>
  <c r="K243" i="2"/>
  <c r="L243" i="2"/>
  <c r="M243" i="2"/>
  <c r="N243" i="2"/>
  <c r="F244" i="2"/>
  <c r="G244" i="2"/>
  <c r="H244" i="2"/>
  <c r="I244" i="2"/>
  <c r="J244" i="2"/>
  <c r="K244" i="2"/>
  <c r="L244" i="2"/>
  <c r="M244" i="2"/>
  <c r="N244" i="2"/>
  <c r="F245" i="2"/>
  <c r="G245" i="2"/>
  <c r="H245" i="2"/>
  <c r="I245" i="2"/>
  <c r="J245" i="2"/>
  <c r="K245" i="2"/>
  <c r="L245" i="2"/>
  <c r="M245" i="2"/>
  <c r="N245" i="2"/>
  <c r="F246" i="2"/>
  <c r="G246" i="2"/>
  <c r="H246" i="2"/>
  <c r="I246" i="2"/>
  <c r="J246" i="2"/>
  <c r="K246" i="2"/>
  <c r="L246" i="2"/>
  <c r="M246" i="2"/>
  <c r="N246" i="2"/>
  <c r="F247" i="2"/>
  <c r="G247" i="2"/>
  <c r="H247" i="2"/>
  <c r="I247" i="2"/>
  <c r="J247" i="2"/>
  <c r="K247" i="2"/>
  <c r="L247" i="2"/>
  <c r="M247" i="2"/>
  <c r="N247" i="2"/>
  <c r="F248" i="2"/>
  <c r="G248" i="2"/>
  <c r="H248" i="2"/>
  <c r="I248" i="2"/>
  <c r="J248" i="2"/>
  <c r="K248" i="2"/>
  <c r="L248" i="2"/>
  <c r="M248" i="2"/>
  <c r="N248" i="2"/>
  <c r="F249" i="2"/>
  <c r="G249" i="2"/>
  <c r="H249" i="2"/>
  <c r="I249" i="2"/>
  <c r="J249" i="2"/>
  <c r="K249" i="2"/>
  <c r="L249" i="2"/>
  <c r="M249" i="2"/>
  <c r="N249" i="2"/>
  <c r="F250" i="2"/>
  <c r="G250" i="2"/>
  <c r="H250" i="2"/>
  <c r="I250" i="2"/>
  <c r="J250" i="2"/>
  <c r="K250" i="2"/>
  <c r="L250" i="2"/>
  <c r="M250" i="2"/>
  <c r="N250" i="2"/>
  <c r="F251" i="2"/>
  <c r="G251" i="2"/>
  <c r="H251" i="2"/>
  <c r="I251" i="2"/>
  <c r="J251" i="2"/>
  <c r="K251" i="2"/>
  <c r="L251" i="2"/>
  <c r="M251" i="2"/>
  <c r="N251" i="2"/>
  <c r="F252" i="2"/>
  <c r="G252" i="2"/>
  <c r="H252" i="2"/>
  <c r="I252" i="2"/>
  <c r="J252" i="2"/>
  <c r="K252" i="2"/>
  <c r="L252" i="2"/>
  <c r="M252" i="2"/>
  <c r="N252" i="2"/>
  <c r="F253" i="2"/>
  <c r="G253" i="2"/>
  <c r="H253" i="2"/>
  <c r="I253" i="2"/>
  <c r="J253" i="2"/>
  <c r="K253" i="2"/>
  <c r="L253" i="2"/>
  <c r="M253" i="2"/>
  <c r="N253" i="2"/>
  <c r="F254" i="2"/>
  <c r="G254" i="2"/>
  <c r="H254" i="2"/>
  <c r="I254" i="2"/>
  <c r="J254" i="2"/>
  <c r="K254" i="2"/>
  <c r="L254" i="2"/>
  <c r="M254" i="2"/>
  <c r="N254" i="2"/>
  <c r="F255" i="2"/>
  <c r="G255" i="2"/>
  <c r="H255" i="2"/>
  <c r="I255" i="2"/>
  <c r="J255" i="2"/>
  <c r="K255" i="2"/>
  <c r="L255" i="2"/>
  <c r="M255" i="2"/>
  <c r="N255" i="2"/>
  <c r="F256" i="2"/>
  <c r="G256" i="2"/>
  <c r="H256" i="2"/>
  <c r="I256" i="2"/>
  <c r="J256" i="2"/>
  <c r="K256" i="2"/>
  <c r="L256" i="2"/>
  <c r="M256" i="2"/>
  <c r="N256" i="2"/>
  <c r="F257" i="2"/>
  <c r="G257" i="2"/>
  <c r="H257" i="2"/>
  <c r="I257" i="2"/>
  <c r="J257" i="2"/>
  <c r="K257" i="2"/>
  <c r="L257" i="2"/>
  <c r="M257" i="2"/>
  <c r="N257" i="2"/>
  <c r="F258" i="2"/>
  <c r="G258" i="2"/>
  <c r="H258" i="2"/>
  <c r="I258" i="2"/>
  <c r="J258" i="2"/>
  <c r="K258" i="2"/>
  <c r="L258" i="2"/>
  <c r="M258" i="2"/>
  <c r="N258" i="2"/>
  <c r="F259" i="2"/>
  <c r="G259" i="2"/>
  <c r="H259" i="2"/>
  <c r="I259" i="2"/>
  <c r="J259" i="2"/>
  <c r="K259" i="2"/>
  <c r="L259" i="2"/>
  <c r="M259" i="2"/>
  <c r="N259" i="2"/>
  <c r="F260" i="2"/>
  <c r="G260" i="2"/>
  <c r="H260" i="2"/>
  <c r="I260" i="2"/>
  <c r="J260" i="2"/>
  <c r="K260" i="2"/>
  <c r="L260" i="2"/>
  <c r="M260" i="2"/>
  <c r="N260" i="2"/>
  <c r="F261" i="2"/>
  <c r="G261" i="2"/>
  <c r="H261" i="2"/>
  <c r="I261" i="2"/>
  <c r="J261" i="2"/>
  <c r="K261" i="2"/>
  <c r="L261" i="2"/>
  <c r="M261" i="2"/>
  <c r="N261" i="2"/>
  <c r="F262" i="2"/>
  <c r="G262" i="2"/>
  <c r="H262" i="2"/>
  <c r="I262" i="2"/>
  <c r="J262" i="2"/>
  <c r="K262" i="2"/>
  <c r="L262" i="2"/>
  <c r="M262" i="2"/>
  <c r="N262" i="2"/>
  <c r="F263" i="2"/>
  <c r="G263" i="2"/>
  <c r="H263" i="2"/>
  <c r="I263" i="2"/>
  <c r="J263" i="2"/>
  <c r="K263" i="2"/>
  <c r="L263" i="2"/>
  <c r="M263" i="2"/>
  <c r="N263" i="2"/>
  <c r="F264" i="2"/>
  <c r="G264" i="2"/>
  <c r="H264" i="2"/>
  <c r="I264" i="2"/>
  <c r="J264" i="2"/>
  <c r="K264" i="2"/>
  <c r="L264" i="2"/>
  <c r="M264" i="2"/>
  <c r="N264" i="2"/>
  <c r="F265" i="2"/>
  <c r="G265" i="2"/>
  <c r="H265" i="2"/>
  <c r="I265" i="2"/>
  <c r="J265" i="2"/>
  <c r="K265" i="2"/>
  <c r="L265" i="2"/>
  <c r="M265" i="2"/>
  <c r="N265" i="2"/>
  <c r="F266" i="2"/>
  <c r="G266" i="2"/>
  <c r="H266" i="2"/>
  <c r="I266" i="2"/>
  <c r="J266" i="2"/>
  <c r="K266" i="2"/>
  <c r="L266" i="2"/>
  <c r="M266" i="2"/>
  <c r="N266" i="2"/>
  <c r="F267" i="2"/>
  <c r="G267" i="2"/>
  <c r="H267" i="2"/>
  <c r="I267" i="2"/>
  <c r="J267" i="2"/>
  <c r="K267" i="2"/>
  <c r="L267" i="2"/>
  <c r="M267" i="2"/>
  <c r="N267" i="2"/>
  <c r="F268" i="2"/>
  <c r="G268" i="2"/>
  <c r="H268" i="2"/>
  <c r="I268" i="2"/>
  <c r="J268" i="2"/>
  <c r="K268" i="2"/>
  <c r="L268" i="2"/>
  <c r="M268" i="2"/>
  <c r="N268" i="2"/>
  <c r="F269" i="2"/>
  <c r="G269" i="2"/>
  <c r="H269" i="2"/>
  <c r="I269" i="2"/>
  <c r="J269" i="2"/>
  <c r="K269" i="2"/>
  <c r="L269" i="2"/>
  <c r="M269" i="2"/>
  <c r="N269" i="2"/>
  <c r="F270" i="2"/>
  <c r="G270" i="2"/>
  <c r="H270" i="2"/>
  <c r="I270" i="2"/>
  <c r="J270" i="2"/>
  <c r="K270" i="2"/>
  <c r="L270" i="2"/>
  <c r="M270" i="2"/>
  <c r="N270" i="2"/>
  <c r="F271" i="2"/>
  <c r="G271" i="2"/>
  <c r="H271" i="2"/>
  <c r="I271" i="2"/>
  <c r="J271" i="2"/>
  <c r="K271" i="2"/>
  <c r="L271" i="2"/>
  <c r="M271" i="2"/>
  <c r="N271" i="2"/>
  <c r="F272" i="2"/>
  <c r="G272" i="2"/>
  <c r="H272" i="2"/>
  <c r="I272" i="2"/>
  <c r="J272" i="2"/>
  <c r="K272" i="2"/>
  <c r="L272" i="2"/>
  <c r="M272" i="2"/>
  <c r="N272" i="2"/>
  <c r="F273" i="2"/>
  <c r="G273" i="2"/>
  <c r="H273" i="2"/>
  <c r="I273" i="2"/>
  <c r="J273" i="2"/>
  <c r="K273" i="2"/>
  <c r="L273" i="2"/>
  <c r="M273" i="2"/>
  <c r="N273" i="2"/>
  <c r="F274" i="2"/>
  <c r="G274" i="2"/>
  <c r="H274" i="2"/>
  <c r="I274" i="2"/>
  <c r="J274" i="2"/>
  <c r="K274" i="2"/>
  <c r="L274" i="2"/>
  <c r="M274" i="2"/>
  <c r="N274" i="2"/>
  <c r="F275" i="2"/>
  <c r="G275" i="2"/>
  <c r="H275" i="2"/>
  <c r="I275" i="2"/>
  <c r="J275" i="2"/>
  <c r="K275" i="2"/>
  <c r="L275" i="2"/>
  <c r="M275" i="2"/>
  <c r="N275" i="2"/>
  <c r="F276" i="2"/>
  <c r="G276" i="2"/>
  <c r="H276" i="2"/>
  <c r="I276" i="2"/>
  <c r="J276" i="2"/>
  <c r="K276" i="2"/>
  <c r="L276" i="2"/>
  <c r="M276" i="2"/>
  <c r="N276" i="2"/>
  <c r="F277" i="2"/>
  <c r="G277" i="2"/>
  <c r="H277" i="2"/>
  <c r="I277" i="2"/>
  <c r="J277" i="2"/>
  <c r="K277" i="2"/>
  <c r="L277" i="2"/>
  <c r="M277" i="2"/>
  <c r="N277" i="2"/>
  <c r="N2" i="2"/>
  <c r="M2" i="2"/>
  <c r="L2" i="2"/>
  <c r="K2" i="2"/>
  <c r="J2" i="2"/>
  <c r="I2" i="2"/>
  <c r="H2" i="2"/>
  <c r="G2" i="2"/>
  <c r="F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81" authorId="0" shapeId="0" xr:uid="{00000000-0006-0000-0000-000001000000}">
      <text>
        <r>
          <rPr>
            <b/>
            <sz val="9"/>
            <color rgb="FF000000"/>
            <rFont val="宋体"/>
            <family val="3"/>
            <charset val="134"/>
          </rPr>
          <t>罗笑芬</t>
        </r>
      </text>
    </comment>
    <comment ref="B283" authorId="0" shapeId="0" xr:uid="{00000000-0006-0000-0000-000002000000}">
      <text>
        <r>
          <rPr>
            <b/>
            <sz val="9"/>
            <color rgb="FF000000"/>
            <rFont val="宋体"/>
            <family val="3"/>
            <charset val="134"/>
          </rPr>
          <t>旧：</t>
        </r>
        <r>
          <rPr>
            <b/>
            <sz val="9"/>
            <color rgb="FF000000"/>
            <rFont val="宋体"/>
            <family val="3"/>
            <charset val="134"/>
          </rPr>
          <t>LENR9L79PH</t>
        </r>
      </text>
    </comment>
  </commentList>
</comments>
</file>

<file path=xl/sharedStrings.xml><?xml version="1.0" encoding="utf-8"?>
<sst xmlns="http://schemas.openxmlformats.org/spreadsheetml/2006/main" count="5839" uniqueCount="1793">
  <si>
    <t>洪洁</t>
    <phoneticPr fontId="3" type="noConversion"/>
  </si>
  <si>
    <t>沈云云</t>
    <phoneticPr fontId="3" type="noConversion"/>
  </si>
  <si>
    <t>裘李飞</t>
    <phoneticPr fontId="3" type="noConversion"/>
  </si>
  <si>
    <t>陈飞</t>
    <phoneticPr fontId="3" type="noConversion"/>
  </si>
  <si>
    <t>操琼卿</t>
    <phoneticPr fontId="3" type="noConversion"/>
  </si>
  <si>
    <t>周志华</t>
    <phoneticPr fontId="3" type="noConversion"/>
  </si>
  <si>
    <t>陈会清</t>
    <phoneticPr fontId="3" type="noConversion"/>
  </si>
  <si>
    <t>张焕忠</t>
    <phoneticPr fontId="3" type="noConversion"/>
  </si>
  <si>
    <t>R9LVEF2</t>
  </si>
  <si>
    <t>管泽韬</t>
    <phoneticPr fontId="3" type="noConversion"/>
  </si>
  <si>
    <t>R9M6H6K</t>
  </si>
  <si>
    <t>沈立</t>
    <phoneticPr fontId="3" type="noConversion"/>
  </si>
  <si>
    <t>R9NX7P4</t>
  </si>
  <si>
    <t>王培忠</t>
    <phoneticPr fontId="3" type="noConversion"/>
  </si>
  <si>
    <t>王涛</t>
    <phoneticPr fontId="3" type="noConversion"/>
  </si>
  <si>
    <t>徐佳峰</t>
    <phoneticPr fontId="3" type="noConversion"/>
  </si>
  <si>
    <t>R9K08Z2</t>
    <phoneticPr fontId="3" type="noConversion"/>
  </si>
  <si>
    <t>7KQZJG2</t>
  </si>
  <si>
    <t>BX4XRG2</t>
  </si>
  <si>
    <t>EDCP16033C161</t>
  </si>
  <si>
    <t>EDCP16033C203</t>
  </si>
  <si>
    <t>EDCP16034D293</t>
  </si>
  <si>
    <t>EDCP1604A016</t>
  </si>
  <si>
    <t>CRV0YL2</t>
  </si>
  <si>
    <t>宋锐</t>
    <phoneticPr fontId="3" type="noConversion"/>
  </si>
  <si>
    <t>沈华丽</t>
    <phoneticPr fontId="3" type="noConversion"/>
  </si>
  <si>
    <t>管诚烽</t>
    <phoneticPr fontId="3" type="noConversion"/>
  </si>
  <si>
    <t>R9T9MW0</t>
  </si>
  <si>
    <t>傅强</t>
    <phoneticPr fontId="3" type="noConversion"/>
  </si>
  <si>
    <t>PDCCH01829000</t>
  </si>
  <si>
    <t>PDCCH01896000</t>
  </si>
  <si>
    <t>陈亮</t>
    <phoneticPr fontId="3" type="noConversion"/>
  </si>
  <si>
    <t>PBPXWCA</t>
  </si>
  <si>
    <t>孙庆</t>
    <phoneticPr fontId="2" type="noConversion"/>
  </si>
  <si>
    <t>黄辉</t>
    <phoneticPr fontId="2" type="noConversion"/>
  </si>
  <si>
    <t>应建国</t>
    <phoneticPr fontId="2" type="noConversion"/>
  </si>
  <si>
    <t>缪紫杨</t>
    <phoneticPr fontId="2" type="noConversion"/>
  </si>
  <si>
    <t>施建英</t>
    <phoneticPr fontId="2" type="noConversion"/>
  </si>
  <si>
    <t>平慧</t>
    <phoneticPr fontId="2" type="noConversion"/>
  </si>
  <si>
    <t>沈华</t>
    <phoneticPr fontId="2" type="noConversion"/>
  </si>
  <si>
    <t>祝夏丽</t>
    <phoneticPr fontId="2" type="noConversion"/>
  </si>
  <si>
    <t>R9VHRPH</t>
    <phoneticPr fontId="2" type="noConversion"/>
  </si>
  <si>
    <t>洪林丽</t>
    <phoneticPr fontId="2" type="noConversion"/>
  </si>
  <si>
    <t>李超</t>
    <phoneticPr fontId="2" type="noConversion"/>
  </si>
  <si>
    <t>2XHNDP2</t>
    <phoneticPr fontId="2" type="noConversion"/>
  </si>
  <si>
    <t>陈成</t>
    <phoneticPr fontId="2" type="noConversion"/>
  </si>
  <si>
    <t>张严</t>
    <phoneticPr fontId="2" type="noConversion"/>
  </si>
  <si>
    <t>R9L0AKA</t>
    <phoneticPr fontId="2" type="noConversion"/>
  </si>
  <si>
    <t>傅德强</t>
    <phoneticPr fontId="2" type="noConversion"/>
  </si>
  <si>
    <t>R9F9WG0</t>
    <phoneticPr fontId="2" type="noConversion"/>
  </si>
  <si>
    <t>任相福</t>
    <phoneticPr fontId="2" type="noConversion"/>
  </si>
  <si>
    <t>姚从春</t>
    <phoneticPr fontId="3" type="noConversion"/>
  </si>
  <si>
    <t>PC0098FG</t>
  </si>
  <si>
    <t>朱淼淼</t>
    <phoneticPr fontId="2" type="noConversion"/>
  </si>
  <si>
    <t>R9PBVE9</t>
  </si>
  <si>
    <t>潘骏</t>
    <phoneticPr fontId="2" type="noConversion"/>
  </si>
  <si>
    <t>PB89KGD</t>
  </si>
  <si>
    <t>杨小波</t>
    <phoneticPr fontId="2" type="noConversion"/>
  </si>
  <si>
    <t>刘成良</t>
    <phoneticPr fontId="2" type="noConversion"/>
  </si>
  <si>
    <t>徐升</t>
    <phoneticPr fontId="2" type="noConversion"/>
  </si>
  <si>
    <t>寇佳文</t>
    <phoneticPr fontId="2" type="noConversion"/>
  </si>
  <si>
    <t>R9FWTE5</t>
    <phoneticPr fontId="2" type="noConversion"/>
  </si>
  <si>
    <t>莫建峰</t>
    <phoneticPr fontId="2" type="noConversion"/>
  </si>
  <si>
    <t>许良</t>
    <phoneticPr fontId="3" type="noConversion"/>
  </si>
  <si>
    <t>沈国琴</t>
    <phoneticPr fontId="2" type="noConversion"/>
  </si>
  <si>
    <t>许彬亚</t>
    <phoneticPr fontId="2" type="noConversion"/>
  </si>
  <si>
    <t>代建朝</t>
    <phoneticPr fontId="3" type="noConversion"/>
  </si>
  <si>
    <t>杜忠浩</t>
    <phoneticPr fontId="2" type="noConversion"/>
  </si>
  <si>
    <t>赵熠君</t>
    <phoneticPr fontId="2" type="noConversion"/>
  </si>
  <si>
    <t>陆国祥</t>
    <phoneticPr fontId="2" type="noConversion"/>
  </si>
  <si>
    <t>黄年彬</t>
    <phoneticPr fontId="2" type="noConversion"/>
  </si>
  <si>
    <t>符丽峰</t>
    <phoneticPr fontId="2" type="noConversion"/>
  </si>
  <si>
    <t>M9058QRSNA67091998</t>
  </si>
  <si>
    <t>陆林光</t>
    <phoneticPr fontId="2" type="noConversion"/>
  </si>
  <si>
    <t>张海婴</t>
    <phoneticPr fontId="2" type="noConversion"/>
  </si>
  <si>
    <t>赵婷</t>
    <phoneticPr fontId="2" type="noConversion"/>
  </si>
  <si>
    <t>刘丹</t>
    <phoneticPr fontId="2" type="noConversion"/>
  </si>
  <si>
    <t>R9R2DAZ</t>
    <phoneticPr fontId="2" type="noConversion"/>
  </si>
  <si>
    <t>张华昭</t>
    <phoneticPr fontId="2" type="noConversion"/>
  </si>
  <si>
    <t>李浩铭</t>
    <phoneticPr fontId="2" type="noConversion"/>
  </si>
  <si>
    <t>PK1AVDX</t>
    <phoneticPr fontId="2" type="noConversion"/>
  </si>
  <si>
    <t>朱超</t>
    <phoneticPr fontId="3" type="noConversion"/>
  </si>
  <si>
    <t>PB00HS9V</t>
  </si>
  <si>
    <t>唐羽婷</t>
    <phoneticPr fontId="2" type="noConversion"/>
  </si>
  <si>
    <t>R9ZWD1T</t>
  </si>
  <si>
    <t>徐莎莎</t>
    <phoneticPr fontId="2" type="noConversion"/>
  </si>
  <si>
    <t>R9RATY4</t>
  </si>
  <si>
    <t>沈伟芳</t>
    <phoneticPr fontId="2" type="noConversion"/>
  </si>
  <si>
    <t>PB017Z6R</t>
    <phoneticPr fontId="2" type="noConversion"/>
  </si>
  <si>
    <t>徐欣</t>
    <phoneticPr fontId="2" type="noConversion"/>
  </si>
  <si>
    <t>M7068Z1ASA68042672</t>
  </si>
  <si>
    <t>霍佩贞</t>
    <phoneticPr fontId="2" type="noConversion"/>
  </si>
  <si>
    <t>PFDQ9XLR</t>
    <phoneticPr fontId="2" type="noConversion"/>
  </si>
  <si>
    <t>孙迎秋</t>
    <phoneticPr fontId="2" type="noConversion"/>
  </si>
  <si>
    <t>R9RC8CE</t>
    <phoneticPr fontId="2" type="noConversion"/>
  </si>
  <si>
    <t>郭珊</t>
    <phoneticPr fontId="2" type="noConversion"/>
  </si>
  <si>
    <t>郝庆春</t>
    <phoneticPr fontId="2" type="noConversion"/>
  </si>
  <si>
    <t>段武海</t>
    <phoneticPr fontId="2" type="noConversion"/>
  </si>
  <si>
    <t>R9F26YD</t>
    <phoneticPr fontId="2" type="noConversion"/>
  </si>
  <si>
    <t>陶小驰</t>
    <phoneticPr fontId="2" type="noConversion"/>
  </si>
  <si>
    <t>R9EY7CM</t>
    <phoneticPr fontId="2" type="noConversion"/>
  </si>
  <si>
    <t>兰淑仙</t>
    <phoneticPr fontId="2" type="noConversion"/>
  </si>
  <si>
    <t>R9YVT96</t>
    <phoneticPr fontId="2" type="noConversion"/>
  </si>
  <si>
    <t>徐进进</t>
    <phoneticPr fontId="2" type="noConversion"/>
  </si>
  <si>
    <t>R9TDEZ5</t>
    <phoneticPr fontId="2" type="noConversion"/>
  </si>
  <si>
    <t>龙邵</t>
    <phoneticPr fontId="2" type="noConversion"/>
  </si>
  <si>
    <t>PF0S53GN</t>
  </si>
  <si>
    <t>朱慧枝</t>
    <phoneticPr fontId="2" type="noConversion"/>
  </si>
  <si>
    <t>陈天逸</t>
    <phoneticPr fontId="2" type="noConversion"/>
  </si>
  <si>
    <t>冯上梁</t>
    <phoneticPr fontId="2" type="noConversion"/>
  </si>
  <si>
    <t>PC021YQS</t>
    <phoneticPr fontId="2" type="noConversion"/>
  </si>
  <si>
    <t>丘轶敏</t>
    <phoneticPr fontId="3" type="noConversion"/>
  </si>
  <si>
    <t>PC0067CQ</t>
    <phoneticPr fontId="2" type="noConversion"/>
  </si>
  <si>
    <t>舒金苗</t>
    <phoneticPr fontId="2" type="noConversion"/>
  </si>
  <si>
    <t>钟卫忠</t>
    <phoneticPr fontId="2" type="noConversion"/>
  </si>
  <si>
    <t>杨文杰</t>
    <phoneticPr fontId="3" type="noConversion"/>
  </si>
  <si>
    <t>张倩倩</t>
    <phoneticPr fontId="2" type="noConversion"/>
  </si>
  <si>
    <t>楼苗苗</t>
    <phoneticPr fontId="2" type="noConversion"/>
  </si>
  <si>
    <t>R9N4LG7</t>
    <phoneticPr fontId="2" type="noConversion"/>
  </si>
  <si>
    <t>寿永良</t>
    <phoneticPr fontId="2" type="noConversion"/>
  </si>
  <si>
    <t>R9L04N7</t>
    <phoneticPr fontId="2" type="noConversion"/>
  </si>
  <si>
    <t>林锋</t>
    <phoneticPr fontId="2" type="noConversion"/>
  </si>
  <si>
    <t>R9KD49K</t>
    <phoneticPr fontId="2" type="noConversion"/>
  </si>
  <si>
    <t>徐璀</t>
    <phoneticPr fontId="2" type="noConversion"/>
  </si>
  <si>
    <t>R9N51YX</t>
    <phoneticPr fontId="2" type="noConversion"/>
  </si>
  <si>
    <t>许国平</t>
    <phoneticPr fontId="2" type="noConversion"/>
  </si>
  <si>
    <t>PK0W7L2</t>
    <phoneticPr fontId="2" type="noConversion"/>
  </si>
  <si>
    <t>周银彬</t>
    <phoneticPr fontId="2" type="noConversion"/>
  </si>
  <si>
    <t>闫哲</t>
    <phoneticPr fontId="2" type="noConversion"/>
  </si>
  <si>
    <t>PK1LPZM</t>
    <phoneticPr fontId="2" type="noConversion"/>
  </si>
  <si>
    <t>钱增东</t>
    <phoneticPr fontId="2" type="noConversion"/>
  </si>
  <si>
    <t>张振飞</t>
    <phoneticPr fontId="2" type="noConversion"/>
  </si>
  <si>
    <t>肖长奎</t>
    <phoneticPr fontId="2" type="noConversion"/>
  </si>
  <si>
    <t>R9P1B0L</t>
    <phoneticPr fontId="2" type="noConversion"/>
  </si>
  <si>
    <t>漆睿南</t>
    <phoneticPr fontId="2" type="noConversion"/>
  </si>
  <si>
    <t>邱燚</t>
    <phoneticPr fontId="2" type="noConversion"/>
  </si>
  <si>
    <t>R9XXXPG</t>
    <phoneticPr fontId="2" type="noConversion"/>
  </si>
  <si>
    <t>傅佳亚</t>
    <phoneticPr fontId="2" type="noConversion"/>
  </si>
  <si>
    <t>荘荣华</t>
    <phoneticPr fontId="2" type="noConversion"/>
  </si>
  <si>
    <t>R9DKGG1</t>
    <phoneticPr fontId="2" type="noConversion"/>
  </si>
  <si>
    <t>韩久宇</t>
    <phoneticPr fontId="2" type="noConversion"/>
  </si>
  <si>
    <t>倪利军</t>
    <phoneticPr fontId="2" type="noConversion"/>
  </si>
  <si>
    <t>袁佳丹</t>
    <phoneticPr fontId="2" type="noConversion"/>
  </si>
  <si>
    <t>JYHNDP2</t>
    <phoneticPr fontId="2" type="noConversion"/>
  </si>
  <si>
    <t>刘志华</t>
    <phoneticPr fontId="2" type="noConversion"/>
  </si>
  <si>
    <t>李天栋</t>
    <phoneticPr fontId="2" type="noConversion"/>
  </si>
  <si>
    <t>王小君</t>
    <phoneticPr fontId="2" type="noConversion"/>
  </si>
  <si>
    <t>金雅凤</t>
    <phoneticPr fontId="2" type="noConversion"/>
  </si>
  <si>
    <t>PF00X2PZ</t>
  </si>
  <si>
    <t>赵国祥</t>
    <phoneticPr fontId="2" type="noConversion"/>
  </si>
  <si>
    <t>M704ZETVSA671121Q0</t>
  </si>
  <si>
    <t>吴列东</t>
    <phoneticPr fontId="2" type="noConversion"/>
  </si>
  <si>
    <t>张训天</t>
    <phoneticPr fontId="2" type="noConversion"/>
  </si>
  <si>
    <t>纪建成</t>
    <phoneticPr fontId="2" type="noConversion"/>
  </si>
  <si>
    <t>单灵江</t>
    <phoneticPr fontId="2" type="noConversion"/>
  </si>
  <si>
    <t>陈英英</t>
    <phoneticPr fontId="2" type="noConversion"/>
  </si>
  <si>
    <t>宋鹏</t>
    <phoneticPr fontId="2" type="noConversion"/>
  </si>
  <si>
    <t>汪心文</t>
    <phoneticPr fontId="3" type="noConversion"/>
  </si>
  <si>
    <t>39BRDP2</t>
  </si>
  <si>
    <t>汪红惠</t>
    <phoneticPr fontId="2" type="noConversion"/>
  </si>
  <si>
    <t>7THRDP2</t>
  </si>
  <si>
    <t>叶建兵</t>
    <phoneticPr fontId="3" type="noConversion"/>
  </si>
  <si>
    <t>汪心文</t>
    <phoneticPr fontId="2" type="noConversion"/>
  </si>
  <si>
    <t>徐瑾</t>
    <phoneticPr fontId="2" type="noConversion"/>
  </si>
  <si>
    <t>杨草窗</t>
    <phoneticPr fontId="2" type="noConversion"/>
  </si>
  <si>
    <t>付胜勇</t>
    <phoneticPr fontId="2" type="noConversion"/>
  </si>
  <si>
    <t>陈栋</t>
    <phoneticPr fontId="2" type="noConversion"/>
  </si>
  <si>
    <t>蒋伟炎</t>
    <phoneticPr fontId="3" type="noConversion"/>
  </si>
  <si>
    <t>沈佳琦</t>
    <phoneticPr fontId="2" type="noConversion"/>
  </si>
  <si>
    <t>曹家成</t>
    <phoneticPr fontId="3" type="noConversion"/>
  </si>
  <si>
    <t>刘菊</t>
    <phoneticPr fontId="2" type="noConversion"/>
  </si>
  <si>
    <t>陈勇利</t>
    <phoneticPr fontId="2" type="noConversion"/>
  </si>
  <si>
    <t>洪于道</t>
    <phoneticPr fontId="2" type="noConversion"/>
  </si>
  <si>
    <t>贺雅琴</t>
    <phoneticPr fontId="2" type="noConversion"/>
  </si>
  <si>
    <t>吴立斌</t>
    <phoneticPr fontId="2" type="noConversion"/>
  </si>
  <si>
    <t>徐迪芳</t>
    <phoneticPr fontId="2" type="noConversion"/>
  </si>
  <si>
    <t>柯林</t>
    <phoneticPr fontId="2" type="noConversion"/>
  </si>
  <si>
    <t>PB2YF85</t>
  </si>
  <si>
    <t>郑冲</t>
    <phoneticPr fontId="2" type="noConversion"/>
  </si>
  <si>
    <t>高军军</t>
    <phoneticPr fontId="2" type="noConversion"/>
  </si>
  <si>
    <t>郑强</t>
    <phoneticPr fontId="2" type="noConversion"/>
  </si>
  <si>
    <t>M904ST3DNA67080328</t>
  </si>
  <si>
    <t>高东游</t>
    <phoneticPr fontId="2" type="noConversion"/>
  </si>
  <si>
    <t>李绍游</t>
    <phoneticPr fontId="2" type="noConversion"/>
  </si>
  <si>
    <t>C4YHFP2</t>
  </si>
  <si>
    <t>黄京海（租完即送）</t>
    <phoneticPr fontId="2" type="noConversion"/>
  </si>
  <si>
    <t>多功能厅（租完即送）</t>
    <phoneticPr fontId="2" type="noConversion"/>
  </si>
  <si>
    <t>俞丽</t>
    <phoneticPr fontId="3" type="noConversion"/>
  </si>
  <si>
    <t>任婷</t>
    <phoneticPr fontId="2" type="noConversion"/>
  </si>
  <si>
    <t>马佳瑶</t>
    <phoneticPr fontId="2" type="noConversion"/>
  </si>
  <si>
    <t>黄忠</t>
    <phoneticPr fontId="3" type="noConversion"/>
  </si>
  <si>
    <t>田世哲</t>
    <phoneticPr fontId="3" type="noConversion"/>
  </si>
  <si>
    <t>秦伟</t>
    <phoneticPr fontId="2" type="noConversion"/>
  </si>
  <si>
    <t>毛世艳</t>
    <phoneticPr fontId="2" type="noConversion"/>
  </si>
  <si>
    <t>徐磊</t>
    <phoneticPr fontId="2" type="noConversion"/>
  </si>
  <si>
    <t>周欣</t>
    <phoneticPr fontId="2" type="noConversion"/>
  </si>
  <si>
    <t>赵颂贤</t>
    <phoneticPr fontId="2" type="noConversion"/>
  </si>
  <si>
    <t>余国平</t>
    <phoneticPr fontId="2" type="noConversion"/>
  </si>
  <si>
    <t>PF0WRKU2</t>
  </si>
  <si>
    <t>汤幸尧</t>
    <phoneticPr fontId="2" type="noConversion"/>
  </si>
  <si>
    <t>黄利文</t>
    <phoneticPr fontId="2" type="noConversion"/>
  </si>
  <si>
    <t>刘小君</t>
    <phoneticPr fontId="2" type="noConversion"/>
  </si>
  <si>
    <t>包江平</t>
    <phoneticPr fontId="2" type="noConversion"/>
  </si>
  <si>
    <t>刘柏希</t>
    <phoneticPr fontId="2" type="noConversion"/>
  </si>
  <si>
    <t>徐丽萍</t>
    <phoneticPr fontId="3" type="noConversion"/>
  </si>
  <si>
    <t>朱军</t>
    <phoneticPr fontId="3" type="noConversion"/>
  </si>
  <si>
    <t>刘宥翔</t>
    <phoneticPr fontId="2" type="noConversion"/>
  </si>
  <si>
    <t>徐斐媛</t>
    <phoneticPr fontId="2" type="noConversion"/>
  </si>
  <si>
    <t>LR08G4PM</t>
  </si>
  <si>
    <t>靳勇</t>
    <phoneticPr fontId="2" type="noConversion"/>
  </si>
  <si>
    <t>PB00RBRZ</t>
    <phoneticPr fontId="2" type="noConversion"/>
  </si>
  <si>
    <t>陆金荣</t>
    <phoneticPr fontId="2" type="noConversion"/>
  </si>
  <si>
    <t>R9M34R1</t>
    <phoneticPr fontId="2" type="noConversion"/>
  </si>
  <si>
    <t>李星亮</t>
    <phoneticPr fontId="2" type="noConversion"/>
  </si>
  <si>
    <t>PK1F965</t>
    <phoneticPr fontId="2" type="noConversion"/>
  </si>
  <si>
    <t>戴丽丽</t>
    <phoneticPr fontId="2" type="noConversion"/>
  </si>
  <si>
    <t>PK2C59T</t>
    <phoneticPr fontId="2" type="noConversion"/>
  </si>
  <si>
    <t>朱家进</t>
    <phoneticPr fontId="2" type="noConversion"/>
  </si>
  <si>
    <t>R9RFA29</t>
    <phoneticPr fontId="2" type="noConversion"/>
  </si>
  <si>
    <t>董海龙</t>
    <phoneticPr fontId="2" type="noConversion"/>
  </si>
  <si>
    <t>R9YC775</t>
    <phoneticPr fontId="2" type="noConversion"/>
  </si>
  <si>
    <t>吴新民</t>
    <phoneticPr fontId="2" type="noConversion"/>
  </si>
  <si>
    <t>PK1AV57</t>
    <phoneticPr fontId="2" type="noConversion"/>
  </si>
  <si>
    <t>王忆泓</t>
    <phoneticPr fontId="2" type="noConversion"/>
  </si>
  <si>
    <t>PC005TRX</t>
    <phoneticPr fontId="2" type="noConversion"/>
  </si>
  <si>
    <t>PF01DKAH</t>
    <phoneticPr fontId="2" type="noConversion"/>
  </si>
  <si>
    <t>史海亚</t>
    <phoneticPr fontId="2" type="noConversion"/>
  </si>
  <si>
    <t>PB013EHF</t>
    <phoneticPr fontId="2" type="noConversion"/>
  </si>
  <si>
    <t>周珍</t>
    <phoneticPr fontId="2" type="noConversion"/>
  </si>
  <si>
    <t>FZHNDP2</t>
    <phoneticPr fontId="2" type="noConversion"/>
  </si>
  <si>
    <t>申岩</t>
    <phoneticPr fontId="2" type="noConversion"/>
  </si>
  <si>
    <t>周宵敏</t>
    <phoneticPr fontId="2" type="noConversion"/>
  </si>
  <si>
    <t>GWHNDP2</t>
    <phoneticPr fontId="2" type="noConversion"/>
  </si>
  <si>
    <t>CXHNDP2</t>
    <phoneticPr fontId="2" type="noConversion"/>
  </si>
  <si>
    <t>张纪明</t>
    <phoneticPr fontId="2" type="noConversion"/>
  </si>
  <si>
    <t>PK2KRHC</t>
    <phoneticPr fontId="2" type="noConversion"/>
  </si>
  <si>
    <t>瞿自力</t>
    <phoneticPr fontId="2" type="noConversion"/>
  </si>
  <si>
    <t>PB3B0M0</t>
    <phoneticPr fontId="2" type="noConversion"/>
  </si>
  <si>
    <t>叶飞荣</t>
    <phoneticPr fontId="2" type="noConversion"/>
  </si>
  <si>
    <t>R9Z4GV7</t>
    <phoneticPr fontId="2" type="noConversion"/>
  </si>
  <si>
    <t>R9EB03R</t>
    <phoneticPr fontId="2" type="noConversion"/>
  </si>
  <si>
    <t>俞淑倩</t>
    <phoneticPr fontId="2" type="noConversion"/>
  </si>
  <si>
    <t>R9RGBN5</t>
    <phoneticPr fontId="2" type="noConversion"/>
  </si>
  <si>
    <t>李瑶瑶</t>
    <phoneticPr fontId="2" type="noConversion"/>
  </si>
  <si>
    <t>R9XDP4R</t>
    <phoneticPr fontId="2" type="noConversion"/>
  </si>
  <si>
    <t>张钰</t>
    <phoneticPr fontId="2" type="noConversion"/>
  </si>
  <si>
    <t>PB03A3QE</t>
    <phoneticPr fontId="2" type="noConversion"/>
  </si>
  <si>
    <t>俞文君</t>
    <phoneticPr fontId="2" type="noConversion"/>
  </si>
  <si>
    <t>R9WMRHR</t>
    <phoneticPr fontId="2" type="noConversion"/>
  </si>
  <si>
    <t>陈瑞柳</t>
    <phoneticPr fontId="2" type="noConversion"/>
  </si>
  <si>
    <t>PK1VLZ6</t>
    <phoneticPr fontId="2" type="noConversion"/>
  </si>
  <si>
    <t>张海帆</t>
    <phoneticPr fontId="2" type="noConversion"/>
  </si>
  <si>
    <t>R9PYMB5</t>
    <phoneticPr fontId="2" type="noConversion"/>
  </si>
  <si>
    <t>程艺</t>
    <phoneticPr fontId="2" type="noConversion"/>
  </si>
  <si>
    <t>R9M80KY</t>
    <phoneticPr fontId="2" type="noConversion"/>
  </si>
  <si>
    <t>徐婷婷</t>
    <phoneticPr fontId="2" type="noConversion"/>
  </si>
  <si>
    <t>R9Y6M4D</t>
    <phoneticPr fontId="2" type="noConversion"/>
  </si>
  <si>
    <t>许漾</t>
    <phoneticPr fontId="2" type="noConversion"/>
  </si>
  <si>
    <t>PK0402L</t>
    <phoneticPr fontId="2" type="noConversion"/>
  </si>
  <si>
    <t>张胜昔</t>
    <phoneticPr fontId="2" type="noConversion"/>
  </si>
  <si>
    <t>施俊</t>
    <phoneticPr fontId="2" type="noConversion"/>
  </si>
  <si>
    <t>R9YEDKE</t>
    <phoneticPr fontId="2" type="noConversion"/>
  </si>
  <si>
    <t>朱叶军</t>
    <phoneticPr fontId="2" type="noConversion"/>
  </si>
  <si>
    <t>PK2C552</t>
    <phoneticPr fontId="2" type="noConversion"/>
  </si>
  <si>
    <t>来明</t>
    <phoneticPr fontId="2" type="noConversion"/>
  </si>
  <si>
    <t>R9YN7MP</t>
    <phoneticPr fontId="2" type="noConversion"/>
  </si>
  <si>
    <t>周祥</t>
    <phoneticPr fontId="2" type="noConversion"/>
  </si>
  <si>
    <t>PK21D26</t>
    <phoneticPr fontId="2" type="noConversion"/>
  </si>
  <si>
    <t>姚增华</t>
    <phoneticPr fontId="2" type="noConversion"/>
  </si>
  <si>
    <t>PK2C53X</t>
    <phoneticPr fontId="2" type="noConversion"/>
  </si>
  <si>
    <t>曹建峰</t>
    <phoneticPr fontId="2" type="noConversion"/>
  </si>
  <si>
    <t>R9ZDX1P</t>
    <phoneticPr fontId="2" type="noConversion"/>
  </si>
  <si>
    <t>赵国军</t>
    <phoneticPr fontId="2" type="noConversion"/>
  </si>
  <si>
    <t>PC0AXEU5</t>
    <phoneticPr fontId="2" type="noConversion"/>
  </si>
  <si>
    <t>陆小勇</t>
    <phoneticPr fontId="2" type="noConversion"/>
  </si>
  <si>
    <t>R9ZB246</t>
    <phoneticPr fontId="2" type="noConversion"/>
  </si>
  <si>
    <t>滕国锋</t>
    <phoneticPr fontId="2" type="noConversion"/>
  </si>
  <si>
    <t>PB01KNP2</t>
    <phoneticPr fontId="2" type="noConversion"/>
  </si>
  <si>
    <t>高峰</t>
    <phoneticPr fontId="2" type="noConversion"/>
  </si>
  <si>
    <t>PK1X1KA</t>
    <phoneticPr fontId="2" type="noConversion"/>
  </si>
  <si>
    <t>俞飞</t>
    <phoneticPr fontId="2" type="noConversion"/>
  </si>
  <si>
    <t>PF00ARJ9</t>
    <phoneticPr fontId="2" type="noConversion"/>
  </si>
  <si>
    <t>李大伟</t>
    <phoneticPr fontId="2" type="noConversion"/>
  </si>
  <si>
    <t>PB0233B5</t>
    <phoneticPr fontId="2" type="noConversion"/>
  </si>
  <si>
    <t>丁丽潇</t>
    <phoneticPr fontId="2" type="noConversion"/>
  </si>
  <si>
    <t>PC01G5HX</t>
    <phoneticPr fontId="2" type="noConversion"/>
  </si>
  <si>
    <t>栾敬静</t>
    <phoneticPr fontId="2" type="noConversion"/>
  </si>
  <si>
    <t>R9XYABH</t>
    <phoneticPr fontId="2" type="noConversion"/>
  </si>
  <si>
    <t>王伟</t>
    <phoneticPr fontId="2" type="noConversion"/>
  </si>
  <si>
    <t>PK1X2V4</t>
    <phoneticPr fontId="2" type="noConversion"/>
  </si>
  <si>
    <t>倪凡笑</t>
    <phoneticPr fontId="2" type="noConversion"/>
  </si>
  <si>
    <t>R9XTXFV</t>
    <phoneticPr fontId="2" type="noConversion"/>
  </si>
  <si>
    <t>沈凯豪</t>
    <phoneticPr fontId="2" type="noConversion"/>
  </si>
  <si>
    <t>R9V7CWH</t>
    <phoneticPr fontId="2" type="noConversion"/>
  </si>
  <si>
    <t>高韶华</t>
    <phoneticPr fontId="2" type="noConversion"/>
  </si>
  <si>
    <t>R9KDD3L</t>
    <phoneticPr fontId="2" type="noConversion"/>
  </si>
  <si>
    <t>徐艳武</t>
    <phoneticPr fontId="2" type="noConversion"/>
  </si>
  <si>
    <t>R9MH6D6</t>
    <phoneticPr fontId="2" type="noConversion"/>
  </si>
  <si>
    <t>刘晓超</t>
    <phoneticPr fontId="2" type="noConversion"/>
  </si>
  <si>
    <t>R9LL9MY</t>
    <phoneticPr fontId="2" type="noConversion"/>
  </si>
  <si>
    <t>韦春磊</t>
    <phoneticPr fontId="2" type="noConversion"/>
  </si>
  <si>
    <t>R9WWF84</t>
    <phoneticPr fontId="2" type="noConversion"/>
  </si>
  <si>
    <t>赵益明</t>
    <phoneticPr fontId="2" type="noConversion"/>
  </si>
  <si>
    <t>F1FGPC2</t>
  </si>
  <si>
    <t>周家海</t>
    <phoneticPr fontId="2" type="noConversion"/>
  </si>
  <si>
    <t>LR0AFH8R</t>
  </si>
  <si>
    <t>黎春芳</t>
    <phoneticPr fontId="2" type="noConversion"/>
  </si>
  <si>
    <t>姚胜</t>
    <phoneticPr fontId="2" type="noConversion"/>
  </si>
  <si>
    <t>罗小林</t>
    <phoneticPr fontId="2" type="noConversion"/>
  </si>
  <si>
    <t>陈孟君</t>
    <phoneticPr fontId="2" type="noConversion"/>
  </si>
  <si>
    <t>童敏伟</t>
    <phoneticPr fontId="2" type="noConversion"/>
  </si>
  <si>
    <t>钱燕飞</t>
    <phoneticPr fontId="2" type="noConversion"/>
  </si>
  <si>
    <t>金波</t>
    <phoneticPr fontId="2" type="noConversion"/>
  </si>
  <si>
    <t>LR0ABG3X</t>
  </si>
  <si>
    <t>陈洁</t>
    <phoneticPr fontId="2" type="noConversion"/>
  </si>
  <si>
    <t>周剑平</t>
    <phoneticPr fontId="2" type="noConversion"/>
  </si>
  <si>
    <t>杨磊</t>
    <phoneticPr fontId="2" type="noConversion"/>
  </si>
  <si>
    <t>李云</t>
    <phoneticPr fontId="2" type="noConversion"/>
  </si>
  <si>
    <t>岳本杰</t>
    <phoneticPr fontId="2" type="noConversion"/>
  </si>
  <si>
    <t>谢占豪</t>
    <phoneticPr fontId="2" type="noConversion"/>
  </si>
  <si>
    <t>孙宝军</t>
    <phoneticPr fontId="2" type="noConversion"/>
  </si>
  <si>
    <t>潘凤严</t>
    <phoneticPr fontId="2" type="noConversion"/>
  </si>
  <si>
    <t>受云果</t>
    <phoneticPr fontId="2" type="noConversion"/>
  </si>
  <si>
    <t>蔡梦芷</t>
    <phoneticPr fontId="2" type="noConversion"/>
  </si>
  <si>
    <t>李漫</t>
    <phoneticPr fontId="2" type="noConversion"/>
  </si>
  <si>
    <t>徐洪涛</t>
    <phoneticPr fontId="2" type="noConversion"/>
  </si>
  <si>
    <t>韩烈梅</t>
    <phoneticPr fontId="2" type="noConversion"/>
  </si>
  <si>
    <t>赵华锋</t>
    <phoneticPr fontId="2" type="noConversion"/>
  </si>
  <si>
    <t>丁俊</t>
    <phoneticPr fontId="2" type="noConversion"/>
  </si>
  <si>
    <t>洪燕红</t>
    <phoneticPr fontId="2" type="noConversion"/>
  </si>
  <si>
    <t>徐忠根</t>
    <phoneticPr fontId="2" type="noConversion"/>
  </si>
  <si>
    <t>黄小兵</t>
    <phoneticPr fontId="2" type="noConversion"/>
  </si>
  <si>
    <t>应明友</t>
    <phoneticPr fontId="2" type="noConversion"/>
  </si>
  <si>
    <t>胡彩萍</t>
    <phoneticPr fontId="2" type="noConversion"/>
  </si>
  <si>
    <t>R9EWBL2</t>
  </si>
  <si>
    <t>王余伟</t>
    <phoneticPr fontId="2" type="noConversion"/>
  </si>
  <si>
    <t>R9NHMRH</t>
  </si>
  <si>
    <t>柴斐群</t>
    <phoneticPr fontId="2" type="noConversion"/>
  </si>
  <si>
    <t>PK2BLTL</t>
  </si>
  <si>
    <t>沈丰</t>
    <phoneticPr fontId="2" type="noConversion"/>
  </si>
  <si>
    <t>PK1ARNZ</t>
  </si>
  <si>
    <t>张洁</t>
    <phoneticPr fontId="2" type="noConversion"/>
  </si>
  <si>
    <t>R9ZEXM5</t>
  </si>
  <si>
    <t>张立波</t>
    <phoneticPr fontId="2" type="noConversion"/>
  </si>
  <si>
    <t>PF00J5KQ</t>
  </si>
  <si>
    <t>倪旭江</t>
    <phoneticPr fontId="2" type="noConversion"/>
  </si>
  <si>
    <t>胡汝斌</t>
    <phoneticPr fontId="2" type="noConversion"/>
  </si>
  <si>
    <t>R9PPLZA</t>
  </si>
  <si>
    <t>方力强</t>
    <phoneticPr fontId="2" type="noConversion"/>
  </si>
  <si>
    <t>施晓林</t>
    <phoneticPr fontId="2" type="noConversion"/>
  </si>
  <si>
    <t>R9YRVF8</t>
  </si>
  <si>
    <t>刘君</t>
    <phoneticPr fontId="2" type="noConversion"/>
  </si>
  <si>
    <t>R9PN841</t>
  </si>
  <si>
    <t>盛芳</t>
    <phoneticPr fontId="2" type="noConversion"/>
  </si>
  <si>
    <t>R9Z6YN0</t>
  </si>
  <si>
    <t>江丽君</t>
    <phoneticPr fontId="2" type="noConversion"/>
  </si>
  <si>
    <t>PK087RY</t>
  </si>
  <si>
    <t>刘军山</t>
    <phoneticPr fontId="2" type="noConversion"/>
  </si>
  <si>
    <t>PK17HG0</t>
  </si>
  <si>
    <t>章宵霞</t>
    <phoneticPr fontId="2" type="noConversion"/>
  </si>
  <si>
    <t>李宏磊</t>
    <phoneticPr fontId="2" type="noConversion"/>
  </si>
  <si>
    <t>包朝阳</t>
    <phoneticPr fontId="4" type="noConversion"/>
  </si>
  <si>
    <t>严醒杰</t>
    <phoneticPr fontId="4" type="noConversion"/>
  </si>
  <si>
    <t>欧阳伯驹</t>
    <phoneticPr fontId="4" type="noConversion"/>
  </si>
  <si>
    <t>R9ELKYY</t>
    <phoneticPr fontId="4" type="noConversion"/>
  </si>
  <si>
    <t>黄梅珠</t>
    <phoneticPr fontId="4" type="noConversion"/>
  </si>
  <si>
    <t>R9PGFVR</t>
    <phoneticPr fontId="4" type="noConversion"/>
  </si>
  <si>
    <t>李帅伟</t>
    <phoneticPr fontId="4" type="noConversion"/>
  </si>
  <si>
    <t>R9PYMD0</t>
    <phoneticPr fontId="4" type="noConversion"/>
  </si>
  <si>
    <t>潘军军</t>
    <phoneticPr fontId="4" type="noConversion"/>
  </si>
  <si>
    <t>R9KCXMV</t>
    <phoneticPr fontId="4" type="noConversion"/>
  </si>
  <si>
    <t>黄然辉</t>
    <phoneticPr fontId="4" type="noConversion"/>
  </si>
  <si>
    <t>R9YV375</t>
  </si>
  <si>
    <t>向敏虎</t>
    <phoneticPr fontId="4" type="noConversion"/>
  </si>
  <si>
    <t>张永池</t>
    <phoneticPr fontId="2" type="noConversion"/>
  </si>
  <si>
    <t>R9DXEKE</t>
    <phoneticPr fontId="2" type="noConversion"/>
  </si>
  <si>
    <t>黄结娣</t>
    <phoneticPr fontId="2" type="noConversion"/>
  </si>
  <si>
    <t>E9N1P5E</t>
  </si>
  <si>
    <t>王洪志</t>
    <phoneticPr fontId="2" type="noConversion"/>
  </si>
  <si>
    <t>R9T9NH9</t>
  </si>
  <si>
    <t>罗颖意</t>
    <phoneticPr fontId="2" type="noConversion"/>
  </si>
  <si>
    <t>R9M166B</t>
  </si>
  <si>
    <t>牛臻臻</t>
    <phoneticPr fontId="2" type="noConversion"/>
  </si>
  <si>
    <t>PK1AV2D</t>
  </si>
  <si>
    <t>罗笑芬</t>
    <phoneticPr fontId="4" type="noConversion"/>
  </si>
  <si>
    <t>PC041JD6</t>
  </si>
  <si>
    <t>温南昌</t>
    <phoneticPr fontId="2" type="noConversion"/>
  </si>
  <si>
    <t>R9XWTRP</t>
    <phoneticPr fontId="2" type="noConversion"/>
  </si>
  <si>
    <t>陈云兴</t>
    <phoneticPr fontId="2" type="noConversion"/>
  </si>
  <si>
    <t>PF0YMRGW</t>
  </si>
  <si>
    <t>徐朗毅</t>
    <phoneticPr fontId="3" type="noConversion"/>
  </si>
  <si>
    <t>周政</t>
    <phoneticPr fontId="2" type="noConversion"/>
  </si>
  <si>
    <t>岳凤</t>
    <phoneticPr fontId="2" type="noConversion"/>
  </si>
  <si>
    <t>R9XWTGA</t>
  </si>
  <si>
    <t>贺梦霞</t>
    <phoneticPr fontId="2" type="noConversion"/>
  </si>
  <si>
    <t>王阳</t>
    <phoneticPr fontId="2" type="noConversion"/>
  </si>
  <si>
    <t>肖友运</t>
    <phoneticPr fontId="2" type="noConversion"/>
  </si>
  <si>
    <t>LR0APRNU</t>
  </si>
  <si>
    <t>周玉宝</t>
    <phoneticPr fontId="2" type="noConversion"/>
  </si>
  <si>
    <t>徐红燕</t>
    <phoneticPr fontId="2" type="noConversion"/>
  </si>
  <si>
    <t>何国仙</t>
    <phoneticPr fontId="2" type="noConversion"/>
  </si>
  <si>
    <t>李治浩</t>
    <phoneticPr fontId="2" type="noConversion"/>
  </si>
  <si>
    <t>裘建伟</t>
    <phoneticPr fontId="2" type="noConversion"/>
  </si>
  <si>
    <t>鲁纪平</t>
    <phoneticPr fontId="2" type="noConversion"/>
  </si>
  <si>
    <t>LR0APRNT</t>
  </si>
  <si>
    <t>蒋世群</t>
    <phoneticPr fontId="2" type="noConversion"/>
  </si>
  <si>
    <t>PK1W5MN</t>
    <phoneticPr fontId="2" type="noConversion"/>
  </si>
  <si>
    <t>杜少波</t>
    <phoneticPr fontId="2" type="noConversion"/>
  </si>
  <si>
    <t>R9TVME0</t>
    <phoneticPr fontId="2" type="noConversion"/>
  </si>
  <si>
    <t>胡莎莉</t>
    <phoneticPr fontId="2" type="noConversion"/>
  </si>
  <si>
    <t>4XQ6GM2</t>
    <phoneticPr fontId="2" type="noConversion"/>
  </si>
  <si>
    <t>4Y38GM2</t>
    <phoneticPr fontId="2" type="noConversion"/>
  </si>
  <si>
    <t>李旭军</t>
    <phoneticPr fontId="2" type="noConversion"/>
  </si>
  <si>
    <t>R9TTAPG</t>
    <phoneticPr fontId="2" type="noConversion"/>
  </si>
  <si>
    <t>R9WVCK0</t>
    <phoneticPr fontId="2" type="noConversion"/>
  </si>
  <si>
    <t>鲁国锋</t>
    <phoneticPr fontId="2" type="noConversion"/>
  </si>
  <si>
    <t>LR09AR6R</t>
  </si>
  <si>
    <t>秦金洋</t>
    <phoneticPr fontId="3" type="noConversion"/>
  </si>
  <si>
    <t>LLCNB1807D0090</t>
    <phoneticPr fontId="3" type="noConversion"/>
  </si>
  <si>
    <t>杨文杰</t>
    <phoneticPr fontId="2" type="noConversion"/>
  </si>
  <si>
    <t>鲍靖</t>
    <phoneticPr fontId="2" type="noConversion"/>
  </si>
  <si>
    <t>李晶晶</t>
    <rPh sb="0" eb="1">
      <t>jing</t>
    </rPh>
    <phoneticPr fontId="2" type="noConversion"/>
  </si>
  <si>
    <t>范浙宁</t>
    <phoneticPr fontId="2" type="noConversion"/>
  </si>
  <si>
    <t>李海军</t>
    <phoneticPr fontId="2" type="noConversion"/>
  </si>
  <si>
    <t>黄飞飞</t>
    <phoneticPr fontId="2" type="noConversion"/>
  </si>
  <si>
    <t>詹芹芹</t>
    <phoneticPr fontId="2" type="noConversion"/>
  </si>
  <si>
    <t>顾海钗</t>
    <phoneticPr fontId="2" type="noConversion"/>
  </si>
  <si>
    <t>LLCNB180600200</t>
    <phoneticPr fontId="2" type="noConversion"/>
  </si>
  <si>
    <t>吴彬</t>
    <phoneticPr fontId="2" type="noConversion"/>
  </si>
  <si>
    <t>LLCNB1807D0091</t>
    <phoneticPr fontId="2" type="noConversion"/>
  </si>
  <si>
    <t>许玉琢</t>
    <phoneticPr fontId="2" type="noConversion"/>
  </si>
  <si>
    <t>LLCNB1807D0095</t>
    <phoneticPr fontId="2" type="noConversion"/>
  </si>
  <si>
    <t>方吴怡</t>
    <phoneticPr fontId="2" type="noConversion"/>
  </si>
  <si>
    <t>倪婷婷</t>
    <phoneticPr fontId="2" type="noConversion"/>
  </si>
  <si>
    <t>LLCNB1807D0093</t>
    <phoneticPr fontId="2" type="noConversion"/>
  </si>
  <si>
    <t>冯如</t>
    <phoneticPr fontId="2" type="noConversion"/>
  </si>
  <si>
    <t>LLCNB1807D0101</t>
    <phoneticPr fontId="2" type="noConversion"/>
  </si>
  <si>
    <t>翁清荣</t>
    <phoneticPr fontId="2" type="noConversion"/>
  </si>
  <si>
    <t>LLCNB1807D0220</t>
    <phoneticPr fontId="2" type="noConversion"/>
  </si>
  <si>
    <t>赵勇</t>
    <phoneticPr fontId="2" type="noConversion"/>
  </si>
  <si>
    <t>LLCNB1807D0219</t>
    <phoneticPr fontId="2" type="noConversion"/>
  </si>
  <si>
    <t>楼俊微</t>
    <phoneticPr fontId="2" type="noConversion"/>
  </si>
  <si>
    <t>LLCNB1807D0083</t>
    <phoneticPr fontId="2" type="noConversion"/>
  </si>
  <si>
    <t>夏彪</t>
    <phoneticPr fontId="2" type="noConversion"/>
  </si>
  <si>
    <t>LLCNB1807D0084</t>
    <phoneticPr fontId="2" type="noConversion"/>
  </si>
  <si>
    <t>金小萍</t>
    <phoneticPr fontId="2" type="noConversion"/>
  </si>
  <si>
    <t>LLCNB1808A0002</t>
    <phoneticPr fontId="2" type="noConversion"/>
  </si>
  <si>
    <t>王思琪</t>
    <phoneticPr fontId="2" type="noConversion"/>
  </si>
  <si>
    <t>LLCNB1807D0216</t>
    <phoneticPr fontId="2" type="noConversion"/>
  </si>
  <si>
    <t>龚图南</t>
    <phoneticPr fontId="2" type="noConversion"/>
  </si>
  <si>
    <t>LLCNB1804D0216</t>
    <phoneticPr fontId="2" type="noConversion"/>
  </si>
  <si>
    <t>朱本月</t>
    <phoneticPr fontId="2" type="noConversion"/>
  </si>
  <si>
    <t>LLCNB1804D0220</t>
    <phoneticPr fontId="2" type="noConversion"/>
  </si>
  <si>
    <t>关琼</t>
    <phoneticPr fontId="2" type="noConversion"/>
  </si>
  <si>
    <t>LLCNB1804D0219</t>
    <phoneticPr fontId="2" type="noConversion"/>
  </si>
  <si>
    <t>刘博</t>
    <phoneticPr fontId="2" type="noConversion"/>
  </si>
  <si>
    <t>LLCNB1804D0215</t>
    <phoneticPr fontId="2" type="noConversion"/>
  </si>
  <si>
    <t>李建龙</t>
    <phoneticPr fontId="2" type="noConversion"/>
  </si>
  <si>
    <t>LLCPC1807F0010</t>
    <phoneticPr fontId="2" type="noConversion"/>
  </si>
  <si>
    <t>朱莲婷</t>
    <phoneticPr fontId="2" type="noConversion"/>
  </si>
  <si>
    <t>LLCPC1801F0025</t>
    <phoneticPr fontId="2" type="noConversion"/>
  </si>
  <si>
    <t>周玄豪</t>
    <phoneticPr fontId="2" type="noConversion"/>
  </si>
  <si>
    <t>LLCNB1807D0030</t>
    <phoneticPr fontId="2" type="noConversion"/>
  </si>
  <si>
    <t>姚侠</t>
    <phoneticPr fontId="2" type="noConversion"/>
  </si>
  <si>
    <t>石玉祥</t>
    <phoneticPr fontId="2" type="noConversion"/>
  </si>
  <si>
    <t>LLCNB180600205</t>
    <phoneticPr fontId="2" type="noConversion"/>
  </si>
  <si>
    <t>唐诗</t>
    <phoneticPr fontId="2" type="noConversion"/>
  </si>
  <si>
    <t>王雪勤</t>
    <phoneticPr fontId="2" type="noConversion"/>
  </si>
  <si>
    <t>LLCNB180600204</t>
    <phoneticPr fontId="2" type="noConversion"/>
  </si>
  <si>
    <t>杨亚恒</t>
    <phoneticPr fontId="2" type="noConversion"/>
  </si>
  <si>
    <t>LLCNB1807D0103</t>
    <phoneticPr fontId="2" type="noConversion"/>
  </si>
  <si>
    <t>干舟涛</t>
    <phoneticPr fontId="2" type="noConversion"/>
  </si>
  <si>
    <t>钟煜</t>
    <phoneticPr fontId="2" type="noConversion"/>
  </si>
  <si>
    <t>戴璐璐</t>
    <phoneticPr fontId="2" type="noConversion"/>
  </si>
  <si>
    <t>胡炜</t>
    <phoneticPr fontId="2" type="noConversion"/>
  </si>
  <si>
    <t>俞丽</t>
    <phoneticPr fontId="2" type="noConversion"/>
  </si>
  <si>
    <t>彭礼鸣</t>
    <phoneticPr fontId="2" type="noConversion"/>
  </si>
  <si>
    <t>陈博</t>
    <phoneticPr fontId="2" type="noConversion"/>
  </si>
  <si>
    <t>LLCNB1807D0100</t>
    <phoneticPr fontId="2" type="noConversion"/>
  </si>
  <si>
    <t>LLCNB1808A0005</t>
    <phoneticPr fontId="2" type="noConversion"/>
  </si>
  <si>
    <t>刘旭林</t>
    <phoneticPr fontId="2" type="noConversion"/>
  </si>
  <si>
    <t>吴雅芳</t>
    <phoneticPr fontId="2" type="noConversion"/>
  </si>
  <si>
    <t>吴梦玲</t>
    <phoneticPr fontId="2" type="noConversion"/>
  </si>
  <si>
    <t>陈梦梦</t>
    <phoneticPr fontId="2" type="noConversion"/>
  </si>
  <si>
    <t>LLCNB1807D0096</t>
    <phoneticPr fontId="2" type="noConversion"/>
  </si>
  <si>
    <t>黄兴威</t>
    <phoneticPr fontId="2" type="noConversion"/>
  </si>
  <si>
    <t>谢益峰</t>
    <phoneticPr fontId="2" type="noConversion"/>
  </si>
  <si>
    <t>李梦娜</t>
    <phoneticPr fontId="2" type="noConversion"/>
  </si>
  <si>
    <t>韩新华</t>
    <phoneticPr fontId="2" type="noConversion"/>
  </si>
  <si>
    <t>袁艳明</t>
    <phoneticPr fontId="2" type="noConversion"/>
  </si>
  <si>
    <t>陆才华</t>
    <phoneticPr fontId="2" type="noConversion"/>
  </si>
  <si>
    <t>张婷</t>
    <phoneticPr fontId="2" type="noConversion"/>
  </si>
  <si>
    <t>翟芬</t>
  </si>
  <si>
    <t>黄鑫</t>
    <phoneticPr fontId="2" type="noConversion"/>
  </si>
  <si>
    <t>顾夕波</t>
    <phoneticPr fontId="2" type="noConversion"/>
  </si>
  <si>
    <t>工号</t>
    <phoneticPr fontId="2" type="noConversion"/>
  </si>
  <si>
    <t>姓名</t>
    <phoneticPr fontId="2" type="noConversion"/>
  </si>
  <si>
    <t>设备序列号</t>
    <phoneticPr fontId="2" type="noConversion"/>
  </si>
  <si>
    <t>设备提供商</t>
    <phoneticPr fontId="2" type="noConversion"/>
  </si>
  <si>
    <t>设备序号</t>
    <phoneticPr fontId="2" type="noConversion"/>
  </si>
  <si>
    <t>操作类型</t>
    <phoneticPr fontId="2" type="noConversion"/>
  </si>
  <si>
    <t>退租</t>
    <phoneticPr fontId="2" type="noConversion"/>
  </si>
  <si>
    <t>租用</t>
    <phoneticPr fontId="2" type="noConversion"/>
  </si>
  <si>
    <t>租用者工号</t>
    <phoneticPr fontId="2" type="noConversion"/>
  </si>
  <si>
    <t>收回</t>
    <phoneticPr fontId="2" type="noConversion"/>
  </si>
  <si>
    <t>再分配</t>
    <phoneticPr fontId="2" type="noConversion"/>
  </si>
  <si>
    <t>备注</t>
    <phoneticPr fontId="2" type="noConversion"/>
  </si>
  <si>
    <t>结束该设备租用，停止产生费用，设备需要发回提供商</t>
    <phoneticPr fontId="2" type="noConversion"/>
  </si>
  <si>
    <t>新租设备，开始产生费用</t>
    <phoneticPr fontId="2" type="noConversion"/>
  </si>
  <si>
    <t>时间</t>
    <phoneticPr fontId="2" type="noConversion"/>
  </si>
  <si>
    <t>设备从当前使用者转移到管理员名下（郑强）</t>
    <phoneticPr fontId="2" type="noConversion"/>
  </si>
  <si>
    <t>设备从管理员（郑强）转移到新使用者</t>
    <phoneticPr fontId="2" type="noConversion"/>
  </si>
  <si>
    <t>设备提供商</t>
    <phoneticPr fontId="2" type="noConversion"/>
  </si>
  <si>
    <t>马越千</t>
    <phoneticPr fontId="3" type="noConversion"/>
  </si>
  <si>
    <t>C11064</t>
  </si>
  <si>
    <t>C10995</t>
  </si>
  <si>
    <t>PBARCYV</t>
    <phoneticPr fontId="3" type="noConversion"/>
  </si>
  <si>
    <t>E94Z5K6</t>
    <phoneticPr fontId="3" type="noConversion"/>
  </si>
  <si>
    <t>R98NLWF</t>
    <phoneticPr fontId="3" type="noConversion"/>
  </si>
  <si>
    <t>R93LNBF</t>
    <phoneticPr fontId="3" type="noConversion"/>
  </si>
  <si>
    <t>R80VT76</t>
    <phoneticPr fontId="3" type="noConversion"/>
  </si>
  <si>
    <t>R9L1M98</t>
    <phoneticPr fontId="3" type="noConversion"/>
  </si>
  <si>
    <t>MG22678</t>
    <phoneticPr fontId="3" type="noConversion"/>
  </si>
  <si>
    <t>PB5088Z</t>
    <phoneticPr fontId="3" type="noConversion"/>
  </si>
  <si>
    <t>PB80CZF</t>
    <phoneticPr fontId="3" type="noConversion"/>
  </si>
  <si>
    <t>PC0054AN</t>
    <phoneticPr fontId="3" type="noConversion"/>
  </si>
  <si>
    <t>R9YVFVH</t>
    <phoneticPr fontId="3" type="noConversion"/>
  </si>
  <si>
    <t>PF01DH4M</t>
    <phoneticPr fontId="3" type="noConversion"/>
  </si>
  <si>
    <t>1WHNDP2</t>
    <phoneticPr fontId="3" type="noConversion"/>
  </si>
  <si>
    <t>2W8PFP2</t>
    <phoneticPr fontId="3" type="noConversion"/>
  </si>
  <si>
    <t>7HSHPC2</t>
    <phoneticPr fontId="2" type="noConversion"/>
  </si>
  <si>
    <t>PF00ZMYP</t>
    <phoneticPr fontId="2" type="noConversion"/>
  </si>
  <si>
    <t>5XHNDP2</t>
    <phoneticPr fontId="2" type="noConversion"/>
  </si>
  <si>
    <t>PB01PS0V</t>
    <phoneticPr fontId="2" type="noConversion"/>
  </si>
  <si>
    <t>R9Y6RT0</t>
    <phoneticPr fontId="2" type="noConversion"/>
  </si>
  <si>
    <t>PK1LPWN</t>
    <phoneticPr fontId="2" type="noConversion"/>
  </si>
  <si>
    <t>R9YKGBW</t>
    <phoneticPr fontId="2" type="noConversion"/>
  </si>
  <si>
    <t>R9THDK1</t>
    <phoneticPr fontId="2" type="noConversion"/>
  </si>
  <si>
    <t>R9V50WR</t>
    <phoneticPr fontId="2" type="noConversion"/>
  </si>
  <si>
    <t>R9GAFM6</t>
    <phoneticPr fontId="2" type="noConversion"/>
  </si>
  <si>
    <t>R9V7KY4</t>
    <phoneticPr fontId="2" type="noConversion"/>
  </si>
  <si>
    <t>R9VL6DL</t>
    <phoneticPr fontId="2" type="noConversion"/>
  </si>
  <si>
    <t>R9HE9RK</t>
    <phoneticPr fontId="2" type="noConversion"/>
  </si>
  <si>
    <t>PF0278XE</t>
    <phoneticPr fontId="2" type="noConversion"/>
  </si>
  <si>
    <t>PF00Z3R1</t>
    <phoneticPr fontId="2" type="noConversion"/>
  </si>
  <si>
    <t>R9LL9PT</t>
    <phoneticPr fontId="2" type="noConversion"/>
  </si>
  <si>
    <t>PF00J5J0</t>
    <phoneticPr fontId="2" type="noConversion"/>
  </si>
  <si>
    <t>R9BXXD9</t>
    <phoneticPr fontId="3" type="noConversion"/>
  </si>
  <si>
    <t>R9EYB7K</t>
    <phoneticPr fontId="2" type="noConversion"/>
  </si>
  <si>
    <t>PB03A3RN</t>
    <phoneticPr fontId="2" type="noConversion"/>
  </si>
  <si>
    <t>R9F34EN</t>
    <phoneticPr fontId="2" type="noConversion"/>
  </si>
  <si>
    <t>R9REE5K</t>
    <phoneticPr fontId="2" type="noConversion"/>
  </si>
  <si>
    <t>R9T9MMV</t>
    <phoneticPr fontId="2" type="noConversion"/>
  </si>
  <si>
    <t>R9EWBLV</t>
    <phoneticPr fontId="2" type="noConversion"/>
  </si>
  <si>
    <t>PB01KNMQ</t>
    <phoneticPr fontId="2" type="noConversion"/>
  </si>
  <si>
    <t>R9V0RRL</t>
    <phoneticPr fontId="2" type="noConversion"/>
  </si>
  <si>
    <t>PC007GGP</t>
    <phoneticPr fontId="2" type="noConversion"/>
  </si>
  <si>
    <t>R9H6FMD</t>
    <phoneticPr fontId="2" type="noConversion"/>
  </si>
  <si>
    <t>R9WFLG4</t>
    <phoneticPr fontId="2" type="noConversion"/>
  </si>
  <si>
    <t>PK1ATLE</t>
    <phoneticPr fontId="2" type="noConversion"/>
  </si>
  <si>
    <t>R9P69BB</t>
    <phoneticPr fontId="2" type="noConversion"/>
  </si>
  <si>
    <t>PBLERWW</t>
    <phoneticPr fontId="2" type="noConversion"/>
  </si>
  <si>
    <t>PB94BZB</t>
    <phoneticPr fontId="2" type="noConversion"/>
  </si>
  <si>
    <t>R99G6TH</t>
    <phoneticPr fontId="3" type="noConversion"/>
  </si>
  <si>
    <t>R9ZEW2F</t>
    <phoneticPr fontId="2" type="noConversion"/>
  </si>
  <si>
    <t>PB03C8HY</t>
    <phoneticPr fontId="2" type="noConversion"/>
  </si>
  <si>
    <t>PK2AEEH</t>
    <phoneticPr fontId="2" type="noConversion"/>
  </si>
  <si>
    <t>PF00GA16</t>
    <phoneticPr fontId="2" type="noConversion"/>
  </si>
  <si>
    <t>R9X4PGX</t>
    <phoneticPr fontId="2" type="noConversion"/>
  </si>
  <si>
    <t>PK0EZDZ</t>
    <phoneticPr fontId="2" type="noConversion"/>
  </si>
  <si>
    <t>R9HM7WA</t>
    <phoneticPr fontId="2" type="noConversion"/>
  </si>
  <si>
    <t>R9MLPK3</t>
    <phoneticPr fontId="2" type="noConversion"/>
  </si>
  <si>
    <t>PC005TQ9</t>
    <phoneticPr fontId="2" type="noConversion"/>
  </si>
  <si>
    <t>PK0CZAY</t>
    <phoneticPr fontId="2" type="noConversion"/>
  </si>
  <si>
    <t>R9V0RMF</t>
    <phoneticPr fontId="2" type="noConversion"/>
  </si>
  <si>
    <t>PK1ATCK</t>
    <phoneticPr fontId="2" type="noConversion"/>
  </si>
  <si>
    <t>R9ZB284</t>
    <phoneticPr fontId="2" type="noConversion"/>
  </si>
  <si>
    <t>PB02YL3G</t>
    <phoneticPr fontId="2" type="noConversion"/>
  </si>
  <si>
    <t>PF01FH57</t>
    <phoneticPr fontId="2" type="noConversion"/>
  </si>
  <si>
    <t>PF00VEHC</t>
    <phoneticPr fontId="2" type="noConversion"/>
  </si>
  <si>
    <t>R9W5Z1T</t>
    <phoneticPr fontId="2" type="noConversion"/>
  </si>
  <si>
    <t>R9ZXBAV</t>
    <phoneticPr fontId="2" type="noConversion"/>
  </si>
  <si>
    <t>PF018529</t>
    <phoneticPr fontId="2" type="noConversion"/>
  </si>
  <si>
    <t>PB03DLYU</t>
    <phoneticPr fontId="2" type="noConversion"/>
  </si>
  <si>
    <t>R9PP485</t>
    <phoneticPr fontId="2" type="noConversion"/>
  </si>
  <si>
    <t>PB5MNVK</t>
    <phoneticPr fontId="3" type="noConversion"/>
  </si>
  <si>
    <t>PB9XBX8</t>
    <phoneticPr fontId="3" type="noConversion"/>
  </si>
  <si>
    <t>PB1FTE2</t>
    <phoneticPr fontId="2" type="noConversion"/>
  </si>
  <si>
    <t>R9ZRVXX</t>
    <phoneticPr fontId="2" type="noConversion"/>
  </si>
  <si>
    <t>R9HEBG1</t>
    <phoneticPr fontId="2" type="noConversion"/>
  </si>
  <si>
    <t>R9N8WKT</t>
    <phoneticPr fontId="2" type="noConversion"/>
  </si>
  <si>
    <t>R9N8VZM</t>
    <phoneticPr fontId="2" type="noConversion"/>
  </si>
  <si>
    <t>PF00S9S2</t>
    <phoneticPr fontId="2" type="noConversion"/>
  </si>
  <si>
    <t>R86AN64A81A</t>
    <phoneticPr fontId="2" type="noConversion"/>
  </si>
  <si>
    <t>PBEFLXB</t>
    <phoneticPr fontId="2" type="noConversion"/>
  </si>
  <si>
    <t>PBE9P7B</t>
    <phoneticPr fontId="2" type="noConversion"/>
  </si>
  <si>
    <t>PC00AXF5</t>
    <phoneticPr fontId="2" type="noConversion"/>
  </si>
  <si>
    <t>PDCCH01784000</t>
    <phoneticPr fontId="2" type="noConversion"/>
  </si>
  <si>
    <t>F7E003467</t>
    <phoneticPr fontId="2" type="noConversion"/>
  </si>
  <si>
    <t>PB02WP72</t>
    <phoneticPr fontId="2" type="noConversion"/>
  </si>
  <si>
    <t>PF0W77ZV</t>
    <phoneticPr fontId="2" type="noConversion"/>
  </si>
  <si>
    <t>PF00ZUR7</t>
    <phoneticPr fontId="2" type="noConversion"/>
  </si>
  <si>
    <t>R9KAR02</t>
    <phoneticPr fontId="3" type="noConversion"/>
  </si>
  <si>
    <t>R9X0NGA</t>
    <phoneticPr fontId="3" type="noConversion"/>
  </si>
  <si>
    <t>R9GMPZR</t>
    <phoneticPr fontId="2" type="noConversion"/>
  </si>
  <si>
    <t>R9XTV6F</t>
    <phoneticPr fontId="2" type="noConversion"/>
  </si>
  <si>
    <t>PK0DZNF</t>
    <phoneticPr fontId="2" type="noConversion"/>
  </si>
  <si>
    <t>LR0ACPF6</t>
    <phoneticPr fontId="2" type="noConversion"/>
  </si>
  <si>
    <t>1WXNDP2</t>
    <phoneticPr fontId="2" type="noConversion"/>
  </si>
  <si>
    <t>R9EB05M</t>
    <phoneticPr fontId="2" type="noConversion"/>
  </si>
  <si>
    <t>R9G774X</t>
    <phoneticPr fontId="2" type="noConversion"/>
  </si>
  <si>
    <t>R9PNLGG</t>
    <phoneticPr fontId="2" type="noConversion"/>
  </si>
  <si>
    <t>R90PYSSM</t>
    <phoneticPr fontId="2" type="noConversion"/>
  </si>
  <si>
    <t>CN-09YCCM-72872-6CR-C4LU-A00</t>
    <phoneticPr fontId="2" type="noConversion"/>
  </si>
  <si>
    <t>F7E003465</t>
    <phoneticPr fontId="2" type="noConversion"/>
  </si>
  <si>
    <t>R9N8X3G</t>
    <phoneticPr fontId="2" type="noConversion"/>
  </si>
  <si>
    <t>大厦财务共享中心</t>
    <phoneticPr fontId="2" type="noConversion"/>
  </si>
  <si>
    <t>台式电脑</t>
    <phoneticPr fontId="2" type="noConversion"/>
  </si>
  <si>
    <t>显示器</t>
    <phoneticPr fontId="2" type="noConversion"/>
  </si>
  <si>
    <t>R9FV088</t>
    <phoneticPr fontId="2" type="noConversion"/>
  </si>
  <si>
    <t>R9M6H6P</t>
    <phoneticPr fontId="2" type="noConversion"/>
  </si>
  <si>
    <t>R9GP44V</t>
    <phoneticPr fontId="2" type="noConversion"/>
  </si>
  <si>
    <t>R9ZKFL9</t>
    <phoneticPr fontId="2" type="noConversion"/>
  </si>
  <si>
    <t>R9N6EH3</t>
    <phoneticPr fontId="2" type="noConversion"/>
  </si>
  <si>
    <t>PB01LZU0</t>
    <phoneticPr fontId="2" type="noConversion"/>
  </si>
  <si>
    <t>PB036M59</t>
    <phoneticPr fontId="2" type="noConversion"/>
  </si>
  <si>
    <t>R9P1DL5</t>
    <phoneticPr fontId="2" type="noConversion"/>
  </si>
  <si>
    <t>R9MFBHH</t>
    <phoneticPr fontId="2" type="noConversion"/>
  </si>
  <si>
    <t>R9HLLMR</t>
    <phoneticPr fontId="2" type="noConversion"/>
  </si>
  <si>
    <t>R9TVMPX</t>
    <phoneticPr fontId="2" type="noConversion"/>
  </si>
  <si>
    <t>M905QRP2NA67111499</t>
  </si>
  <si>
    <t>R9ZXBE9</t>
    <phoneticPr fontId="2" type="noConversion"/>
  </si>
  <si>
    <t>PB0235YP</t>
    <phoneticPr fontId="2" type="noConversion"/>
  </si>
  <si>
    <t>60JNDP2</t>
    <phoneticPr fontId="2" type="noConversion"/>
  </si>
  <si>
    <t>PC00Z03Z</t>
    <phoneticPr fontId="2" type="noConversion"/>
  </si>
  <si>
    <t>PB02EM7X</t>
    <phoneticPr fontId="2" type="noConversion"/>
  </si>
  <si>
    <t>PF00M287</t>
    <phoneticPr fontId="2" type="noConversion"/>
  </si>
  <si>
    <t>R9HRXZE</t>
    <phoneticPr fontId="2" type="noConversion"/>
  </si>
  <si>
    <t>PF01DT2K</t>
    <phoneticPr fontId="2" type="noConversion"/>
  </si>
  <si>
    <t>5CD81157X7</t>
    <phoneticPr fontId="2" type="noConversion"/>
  </si>
  <si>
    <t>PB02P7NC</t>
    <phoneticPr fontId="2" type="noConversion"/>
  </si>
  <si>
    <t>E9NLTNC</t>
    <phoneticPr fontId="2" type="noConversion"/>
  </si>
  <si>
    <t>R9D837F</t>
    <phoneticPr fontId="2" type="noConversion"/>
  </si>
  <si>
    <t>R9ED38V</t>
    <phoneticPr fontId="2" type="noConversion"/>
  </si>
  <si>
    <t>R9L0APZ</t>
    <phoneticPr fontId="2" type="noConversion"/>
  </si>
  <si>
    <t>PB38MTT</t>
    <phoneticPr fontId="2" type="noConversion"/>
  </si>
  <si>
    <t>R9TWVV8</t>
    <phoneticPr fontId="4" type="noConversion"/>
  </si>
  <si>
    <t>R9N524H</t>
    <phoneticPr fontId="4" type="noConversion"/>
  </si>
  <si>
    <t>R9PA6LW</t>
    <phoneticPr fontId="4" type="noConversion"/>
  </si>
  <si>
    <t>PK18KVA</t>
    <phoneticPr fontId="2" type="noConversion"/>
  </si>
  <si>
    <t>R9ELM8P</t>
    <phoneticPr fontId="2" type="noConversion"/>
  </si>
  <si>
    <t>PK1X0MC</t>
    <phoneticPr fontId="2" type="noConversion"/>
  </si>
  <si>
    <t>PK28E57</t>
    <phoneticPr fontId="2" type="noConversion"/>
  </si>
  <si>
    <t>LR0AWU1C</t>
    <phoneticPr fontId="2" type="noConversion"/>
  </si>
  <si>
    <t>PC0F4Z01</t>
    <phoneticPr fontId="2" type="noConversion"/>
  </si>
  <si>
    <t>R9PYME2</t>
    <phoneticPr fontId="2" type="noConversion"/>
  </si>
  <si>
    <t>R9Z39RM</t>
    <phoneticPr fontId="2" type="noConversion"/>
  </si>
  <si>
    <t>R9W9GYY</t>
    <phoneticPr fontId="2" type="noConversion"/>
  </si>
  <si>
    <t>LLCNB1804D0217</t>
    <phoneticPr fontId="2" type="noConversion"/>
  </si>
  <si>
    <t>LLCNB1804D0221</t>
    <phoneticPr fontId="2" type="noConversion"/>
  </si>
  <si>
    <t>LLCNB180600074</t>
    <phoneticPr fontId="2" type="noConversion"/>
  </si>
  <si>
    <t>LLCNB180600141</t>
    <phoneticPr fontId="2" type="noConversion"/>
  </si>
  <si>
    <t>LLCNB180600142</t>
    <phoneticPr fontId="2" type="noConversion"/>
  </si>
  <si>
    <t>LLCNB1807D0027</t>
    <phoneticPr fontId="2" type="noConversion"/>
  </si>
  <si>
    <t>LLCNB1807D0102</t>
    <phoneticPr fontId="2" type="noConversion"/>
  </si>
  <si>
    <t>LLCNB1807D0104</t>
    <phoneticPr fontId="2" type="noConversion"/>
  </si>
  <si>
    <t>LLCNB1804D0218</t>
    <phoneticPr fontId="2" type="noConversion"/>
  </si>
  <si>
    <t>LLCNB1807D0030</t>
    <phoneticPr fontId="2" type="noConversion"/>
  </si>
  <si>
    <t>LLCNB1807D0028</t>
    <phoneticPr fontId="2" type="noConversion"/>
  </si>
  <si>
    <t>LLCNB1807D0029</t>
    <phoneticPr fontId="2" type="noConversion"/>
  </si>
  <si>
    <t>LLCNB180600206</t>
    <phoneticPr fontId="2" type="noConversion"/>
  </si>
  <si>
    <t>LLCNB1807D0092</t>
    <phoneticPr fontId="2" type="noConversion"/>
  </si>
  <si>
    <t>LLCNB1808A0003</t>
    <phoneticPr fontId="2" type="noConversion"/>
  </si>
  <si>
    <t>LLCNB1807AE0001</t>
    <phoneticPr fontId="2" type="noConversion"/>
  </si>
  <si>
    <t>LLCNB1807D0087</t>
    <phoneticPr fontId="2" type="noConversion"/>
  </si>
  <si>
    <t>LLCPC1807AE0001</t>
    <phoneticPr fontId="2" type="noConversion"/>
  </si>
  <si>
    <t>LLCNB1807D0099</t>
    <phoneticPr fontId="2" type="noConversion"/>
  </si>
  <si>
    <t>LLCNB1808A0004</t>
    <phoneticPr fontId="2" type="noConversion"/>
  </si>
  <si>
    <t>LLCNB1807D0097</t>
    <phoneticPr fontId="2" type="noConversion"/>
  </si>
  <si>
    <t>LLCNB180600202</t>
    <phoneticPr fontId="2" type="noConversion"/>
  </si>
  <si>
    <t>LLCNB1807D0031</t>
    <phoneticPr fontId="2" type="noConversion"/>
  </si>
  <si>
    <t>LLCNB1807D0094</t>
    <phoneticPr fontId="2" type="noConversion"/>
  </si>
  <si>
    <t>LLCNB1807D0106</t>
    <phoneticPr fontId="2" type="noConversion"/>
  </si>
  <si>
    <t>LLCNB1804D0214</t>
    <phoneticPr fontId="2" type="noConversion"/>
  </si>
  <si>
    <t>LLCNB1807D0085</t>
    <phoneticPr fontId="2" type="noConversion"/>
  </si>
  <si>
    <t>LLCNB1808A0001</t>
    <phoneticPr fontId="2" type="noConversion"/>
  </si>
  <si>
    <t>LLCNB180600071</t>
    <phoneticPr fontId="4" type="noConversion"/>
  </si>
  <si>
    <t>LLCNB180600203</t>
    <phoneticPr fontId="4" type="noConversion"/>
  </si>
  <si>
    <t>LLCNB180200180</t>
    <phoneticPr fontId="2" type="noConversion"/>
  </si>
  <si>
    <t>易点租</t>
    <phoneticPr fontId="2" type="noConversion"/>
  </si>
  <si>
    <t>联想租赁</t>
    <phoneticPr fontId="2" type="noConversion"/>
  </si>
  <si>
    <t>CH17001</t>
  </si>
  <si>
    <t>CH17002</t>
  </si>
  <si>
    <t>CH17003</t>
  </si>
  <si>
    <t>CH17004</t>
  </si>
  <si>
    <t>CH17005</t>
  </si>
  <si>
    <t>CH17006</t>
  </si>
  <si>
    <t>CH17007</t>
  </si>
  <si>
    <t>CH17008</t>
  </si>
  <si>
    <t>CH17009</t>
  </si>
  <si>
    <t>CH17010</t>
  </si>
  <si>
    <t>CH17011</t>
  </si>
  <si>
    <t>CH17012</t>
  </si>
  <si>
    <t>CH17013</t>
  </si>
  <si>
    <t>CH17014</t>
  </si>
  <si>
    <t>CH17015</t>
  </si>
  <si>
    <t>CH17016</t>
  </si>
  <si>
    <t>CH17017</t>
  </si>
  <si>
    <t>CH17018</t>
  </si>
  <si>
    <t>CH17019</t>
  </si>
  <si>
    <t>CH17020</t>
  </si>
  <si>
    <t>CH17021</t>
  </si>
  <si>
    <t>CH17022</t>
  </si>
  <si>
    <t>CH17023</t>
  </si>
  <si>
    <t>CH17024</t>
  </si>
  <si>
    <t>CH17025</t>
  </si>
  <si>
    <t>CH17026</t>
  </si>
  <si>
    <t>CH17027</t>
  </si>
  <si>
    <t>CH17028</t>
  </si>
  <si>
    <t>CH17029</t>
  </si>
  <si>
    <t>CH17030</t>
  </si>
  <si>
    <t>CH17031</t>
  </si>
  <si>
    <t>CH17032</t>
  </si>
  <si>
    <t>CH17033</t>
  </si>
  <si>
    <t>CH17034</t>
  </si>
  <si>
    <t>CH17035</t>
  </si>
  <si>
    <t>CH17036</t>
  </si>
  <si>
    <t>CH17037</t>
  </si>
  <si>
    <t>CH17038</t>
  </si>
  <si>
    <t>CH17039</t>
  </si>
  <si>
    <t>CH17040</t>
  </si>
  <si>
    <t>CH17041</t>
  </si>
  <si>
    <t>CH17042</t>
  </si>
  <si>
    <t>CH17043</t>
  </si>
  <si>
    <t>CH17044</t>
    <phoneticPr fontId="4" type="noConversion"/>
  </si>
  <si>
    <t>CH17045</t>
  </si>
  <si>
    <t>CH17046</t>
  </si>
  <si>
    <t>CH17047</t>
  </si>
  <si>
    <t>CH17048</t>
  </si>
  <si>
    <t>CH17049</t>
  </si>
  <si>
    <t>CH17050</t>
  </si>
  <si>
    <t>CH17091</t>
    <phoneticPr fontId="4" type="noConversion"/>
  </si>
  <si>
    <t>CH17092</t>
  </si>
  <si>
    <t>CH17093</t>
  </si>
  <si>
    <t>CH17094</t>
  </si>
  <si>
    <t>CH17095</t>
  </si>
  <si>
    <t>CH17096</t>
  </si>
  <si>
    <t>CH17097</t>
  </si>
  <si>
    <t>CH17098</t>
  </si>
  <si>
    <t>CH17099</t>
  </si>
  <si>
    <t>CH17100</t>
  </si>
  <si>
    <t>CH17101</t>
  </si>
  <si>
    <t>CH17102</t>
  </si>
  <si>
    <t>CH17103</t>
  </si>
  <si>
    <t>CH17104</t>
  </si>
  <si>
    <t>CH17105</t>
  </si>
  <si>
    <t>CH17106</t>
  </si>
  <si>
    <t>CH17107</t>
  </si>
  <si>
    <t>CH17108</t>
  </si>
  <si>
    <t>CH17109</t>
  </si>
  <si>
    <t>CH17110</t>
  </si>
  <si>
    <t>CH17111</t>
  </si>
  <si>
    <t>CH17112</t>
  </si>
  <si>
    <t>CH17113</t>
  </si>
  <si>
    <t>CH17114</t>
  </si>
  <si>
    <t>CH17115</t>
  </si>
  <si>
    <t>CH17116</t>
  </si>
  <si>
    <t>CH17117</t>
  </si>
  <si>
    <t>CH17118</t>
  </si>
  <si>
    <t>CH17119</t>
  </si>
  <si>
    <t>CH17120</t>
  </si>
  <si>
    <t>CH17121</t>
  </si>
  <si>
    <t>CH17122</t>
  </si>
  <si>
    <t>CH17123</t>
  </si>
  <si>
    <t>CH17124</t>
  </si>
  <si>
    <t>CH17125</t>
  </si>
  <si>
    <t>CH17126</t>
  </si>
  <si>
    <t>CH17127</t>
  </si>
  <si>
    <t>CH17128</t>
  </si>
  <si>
    <t>CH17129</t>
  </si>
  <si>
    <t>CH17130</t>
  </si>
  <si>
    <t>CH17131</t>
  </si>
  <si>
    <t>CH17132</t>
  </si>
  <si>
    <t>CH17133</t>
  </si>
  <si>
    <t>CH17134</t>
  </si>
  <si>
    <t>CH17135</t>
  </si>
  <si>
    <t>CH17136</t>
  </si>
  <si>
    <t>CH17137</t>
  </si>
  <si>
    <t>CH17138</t>
  </si>
  <si>
    <t>CH17139</t>
  </si>
  <si>
    <t>CH17140</t>
  </si>
  <si>
    <t>CH17141</t>
  </si>
  <si>
    <t>CH17142</t>
  </si>
  <si>
    <t>CH17143</t>
  </si>
  <si>
    <t>CH17144</t>
  </si>
  <si>
    <t>CH17145</t>
  </si>
  <si>
    <t>CH17146</t>
  </si>
  <si>
    <t>CH17147</t>
  </si>
  <si>
    <t>CH17148</t>
  </si>
  <si>
    <t>CH17149</t>
  </si>
  <si>
    <t>CH17150</t>
  </si>
  <si>
    <t>CH17151</t>
  </si>
  <si>
    <t>CH17152</t>
  </si>
  <si>
    <t>CH17153</t>
  </si>
  <si>
    <t>CH17154</t>
  </si>
  <si>
    <t>CH17155</t>
  </si>
  <si>
    <t>CH17156</t>
  </si>
  <si>
    <t>CH17157</t>
  </si>
  <si>
    <t>CH17158</t>
  </si>
  <si>
    <t>CH17159</t>
  </si>
  <si>
    <t>CH17160</t>
  </si>
  <si>
    <t>CH17161</t>
  </si>
  <si>
    <t>CH18001</t>
    <phoneticPr fontId="4" type="noConversion"/>
  </si>
  <si>
    <t>CH18002</t>
  </si>
  <si>
    <t>CH18003</t>
  </si>
  <si>
    <t>CH18004</t>
  </si>
  <si>
    <t>CH18005</t>
  </si>
  <si>
    <t>CH18006</t>
  </si>
  <si>
    <t>CH18007</t>
  </si>
  <si>
    <t>CH18008</t>
  </si>
  <si>
    <t>CH18009</t>
  </si>
  <si>
    <t>CH18010</t>
  </si>
  <si>
    <t>CH18011</t>
  </si>
  <si>
    <t>CH18012</t>
  </si>
  <si>
    <t>CH18013</t>
  </si>
  <si>
    <t>CH18014</t>
  </si>
  <si>
    <t>CH18015</t>
  </si>
  <si>
    <t>CH18016</t>
  </si>
  <si>
    <t>CH18017</t>
  </si>
  <si>
    <t>CH18018</t>
  </si>
  <si>
    <t>CH18019</t>
  </si>
  <si>
    <t>CH18020</t>
  </si>
  <si>
    <t>CH18021</t>
  </si>
  <si>
    <t>CH18022</t>
  </si>
  <si>
    <t>CH18023</t>
  </si>
  <si>
    <t>CH18024</t>
  </si>
  <si>
    <t>CH18025</t>
  </si>
  <si>
    <t>CH18026</t>
  </si>
  <si>
    <t>CH18027</t>
  </si>
  <si>
    <t>CH18028</t>
  </si>
  <si>
    <t>CH18029</t>
  </si>
  <si>
    <t>CH18030</t>
  </si>
  <si>
    <t>CH18031</t>
  </si>
  <si>
    <t>CH18032</t>
  </si>
  <si>
    <t>CH18033</t>
  </si>
  <si>
    <t>CH18034</t>
  </si>
  <si>
    <t>CH18035</t>
  </si>
  <si>
    <t>王静昌</t>
    <phoneticPr fontId="4" type="noConversion"/>
  </si>
  <si>
    <t>夏丽萍</t>
    <phoneticPr fontId="4" type="noConversion"/>
  </si>
  <si>
    <t>查金英</t>
    <phoneticPr fontId="4" type="noConversion"/>
  </si>
  <si>
    <t>数码公司</t>
    <phoneticPr fontId="4" type="noConversion"/>
  </si>
  <si>
    <t>余杰</t>
    <phoneticPr fontId="4" type="noConversion"/>
  </si>
  <si>
    <t>陈萍</t>
    <phoneticPr fontId="4" type="noConversion"/>
  </si>
  <si>
    <t>邸春来</t>
    <phoneticPr fontId="4" type="noConversion"/>
  </si>
  <si>
    <t>刘帆</t>
    <phoneticPr fontId="4" type="noConversion"/>
  </si>
  <si>
    <t>吴天龙</t>
    <phoneticPr fontId="4" type="noConversion"/>
  </si>
  <si>
    <t>郑王伟</t>
    <phoneticPr fontId="4" type="noConversion"/>
  </si>
  <si>
    <t>卢寿彪</t>
    <phoneticPr fontId="4" type="noConversion"/>
  </si>
  <si>
    <t>王雪峰</t>
    <phoneticPr fontId="4" type="noConversion"/>
  </si>
  <si>
    <t>钟春红</t>
    <phoneticPr fontId="4" type="noConversion"/>
  </si>
  <si>
    <t>王波</t>
    <phoneticPr fontId="4" type="noConversion"/>
  </si>
  <si>
    <t>傅彬彬</t>
    <phoneticPr fontId="4" type="noConversion"/>
  </si>
  <si>
    <t>张吉利</t>
    <phoneticPr fontId="4" type="noConversion"/>
  </si>
  <si>
    <t>王军红</t>
    <phoneticPr fontId="4" type="noConversion"/>
  </si>
  <si>
    <t>邓育颖</t>
    <phoneticPr fontId="4" type="noConversion"/>
  </si>
  <si>
    <t>汤幸尧</t>
    <phoneticPr fontId="4" type="noConversion"/>
  </si>
  <si>
    <t>高晨</t>
    <phoneticPr fontId="4" type="noConversion"/>
  </si>
  <si>
    <t>吴文祥</t>
    <phoneticPr fontId="4" type="noConversion"/>
  </si>
  <si>
    <t>罗巨涛</t>
    <phoneticPr fontId="4" type="noConversion"/>
  </si>
  <si>
    <t>胡娟</t>
    <phoneticPr fontId="4" type="noConversion"/>
  </si>
  <si>
    <t>胡仁霞</t>
    <phoneticPr fontId="4" type="noConversion"/>
  </si>
  <si>
    <t>黄玮</t>
    <phoneticPr fontId="4" type="noConversion"/>
  </si>
  <si>
    <t>郑萍菊</t>
    <phoneticPr fontId="4" type="noConversion"/>
  </si>
  <si>
    <t>胡仁霞</t>
    <phoneticPr fontId="4" type="noConversion"/>
  </si>
  <si>
    <t>谢月琴</t>
    <phoneticPr fontId="4" type="noConversion"/>
  </si>
  <si>
    <t>秦婷</t>
    <phoneticPr fontId="4" type="noConversion"/>
  </si>
  <si>
    <t>许彬亚</t>
    <phoneticPr fontId="4" type="noConversion"/>
  </si>
  <si>
    <t>谭正阳</t>
    <phoneticPr fontId="4" type="noConversion"/>
  </si>
  <si>
    <t>化学品财务共享</t>
    <phoneticPr fontId="4" type="noConversion"/>
  </si>
  <si>
    <t>黄辉</t>
    <phoneticPr fontId="4" type="noConversion"/>
  </si>
  <si>
    <t>华银洁</t>
    <phoneticPr fontId="4" type="noConversion"/>
  </si>
  <si>
    <t>郑仁学</t>
    <phoneticPr fontId="4" type="noConversion"/>
  </si>
  <si>
    <t>精化工厂</t>
    <phoneticPr fontId="4" type="noConversion"/>
  </si>
  <si>
    <t>宣小青</t>
    <phoneticPr fontId="4" type="noConversion"/>
  </si>
  <si>
    <t>徐应兴</t>
    <phoneticPr fontId="4" type="noConversion"/>
  </si>
  <si>
    <t>宋腾龙</t>
    <phoneticPr fontId="4" type="noConversion"/>
  </si>
  <si>
    <t>仓储组</t>
    <phoneticPr fontId="4" type="noConversion"/>
  </si>
  <si>
    <t>采供组</t>
    <phoneticPr fontId="4" type="noConversion"/>
  </si>
  <si>
    <t>马俊娟</t>
    <phoneticPr fontId="4" type="noConversion"/>
  </si>
  <si>
    <t>洪燕红</t>
    <phoneticPr fontId="4" type="noConversion"/>
  </si>
  <si>
    <t>覃正权</t>
    <phoneticPr fontId="4" type="noConversion"/>
  </si>
  <si>
    <t>陈官荣</t>
    <phoneticPr fontId="4" type="noConversion"/>
  </si>
  <si>
    <t>鲍靖</t>
    <phoneticPr fontId="4" type="noConversion"/>
  </si>
  <si>
    <t>申屠鲜艳</t>
    <phoneticPr fontId="4" type="noConversion"/>
  </si>
  <si>
    <t>丁双剑</t>
    <phoneticPr fontId="4" type="noConversion"/>
  </si>
  <si>
    <t>泮宇晨</t>
    <phoneticPr fontId="4" type="noConversion"/>
  </si>
  <si>
    <t>曹玉明</t>
    <phoneticPr fontId="4" type="noConversion"/>
  </si>
  <si>
    <t>王桦</t>
    <phoneticPr fontId="4" type="noConversion"/>
  </si>
  <si>
    <t>李晶晶</t>
    <phoneticPr fontId="4" type="noConversion"/>
  </si>
  <si>
    <t>原料仓库</t>
    <phoneticPr fontId="4" type="noConversion"/>
  </si>
  <si>
    <t>陈利平</t>
    <phoneticPr fontId="4" type="noConversion"/>
  </si>
  <si>
    <t>潘凯凯</t>
    <phoneticPr fontId="4" type="noConversion"/>
  </si>
  <si>
    <t>方豪</t>
    <phoneticPr fontId="4" type="noConversion"/>
  </si>
  <si>
    <t>高杨依</t>
    <phoneticPr fontId="4" type="noConversion"/>
  </si>
  <si>
    <t>黄成斌</t>
    <phoneticPr fontId="4" type="noConversion"/>
  </si>
  <si>
    <t>缪紫杨</t>
    <phoneticPr fontId="4" type="noConversion"/>
  </si>
  <si>
    <t>曹宗丽</t>
    <phoneticPr fontId="4" type="noConversion"/>
  </si>
  <si>
    <t>蒋佳伊</t>
    <phoneticPr fontId="4" type="noConversion"/>
  </si>
  <si>
    <t>李丹红</t>
    <phoneticPr fontId="4" type="noConversion"/>
  </si>
  <si>
    <t>鲁枫</t>
    <phoneticPr fontId="4" type="noConversion"/>
  </si>
  <si>
    <t>颜珠玲</t>
    <phoneticPr fontId="4" type="noConversion"/>
  </si>
  <si>
    <t>何乐飞</t>
    <phoneticPr fontId="4" type="noConversion"/>
  </si>
  <si>
    <t>游爱鸳</t>
    <phoneticPr fontId="4" type="noConversion"/>
  </si>
  <si>
    <t>来雷</t>
    <phoneticPr fontId="4" type="noConversion"/>
  </si>
  <si>
    <t>张瑜</t>
    <phoneticPr fontId="4" type="noConversion"/>
  </si>
  <si>
    <t>郑书森</t>
    <phoneticPr fontId="4" type="noConversion"/>
  </si>
  <si>
    <t>周益盛</t>
    <phoneticPr fontId="4" type="noConversion"/>
  </si>
  <si>
    <t>张华君</t>
    <phoneticPr fontId="4" type="noConversion"/>
  </si>
  <si>
    <t>斯倩云</t>
    <phoneticPr fontId="4" type="noConversion"/>
  </si>
  <si>
    <t>李会允</t>
    <phoneticPr fontId="4" type="noConversion"/>
  </si>
  <si>
    <t>谢曙峰</t>
    <phoneticPr fontId="4" type="noConversion"/>
  </si>
  <si>
    <t>泉州办</t>
    <phoneticPr fontId="4" type="noConversion"/>
  </si>
  <si>
    <t>贺水明</t>
    <phoneticPr fontId="4" type="noConversion"/>
  </si>
  <si>
    <t>倪国荣</t>
    <phoneticPr fontId="4" type="noConversion"/>
  </si>
  <si>
    <t>化学品质检</t>
    <phoneticPr fontId="4" type="noConversion"/>
  </si>
  <si>
    <t>胡义娇</t>
    <phoneticPr fontId="4" type="noConversion"/>
  </si>
  <si>
    <t>俞鹏云</t>
    <phoneticPr fontId="4" type="noConversion"/>
  </si>
  <si>
    <t>戴建忠</t>
    <phoneticPr fontId="4" type="noConversion"/>
  </si>
  <si>
    <t>闫影影</t>
    <phoneticPr fontId="4" type="noConversion"/>
  </si>
  <si>
    <t>陈小叶</t>
    <phoneticPr fontId="4" type="noConversion"/>
  </si>
  <si>
    <t>卢科</t>
    <phoneticPr fontId="4" type="noConversion"/>
  </si>
  <si>
    <t>张克雄</t>
    <phoneticPr fontId="4" type="noConversion"/>
  </si>
  <si>
    <t>高志锋</t>
    <phoneticPr fontId="4" type="noConversion"/>
  </si>
  <si>
    <t>皮化实验室</t>
    <phoneticPr fontId="4" type="noConversion"/>
  </si>
  <si>
    <t>徐杨莹</t>
    <phoneticPr fontId="4" type="noConversion"/>
  </si>
  <si>
    <t>乔平</t>
    <phoneticPr fontId="4" type="noConversion"/>
  </si>
  <si>
    <t>余金保</t>
    <phoneticPr fontId="4" type="noConversion"/>
  </si>
  <si>
    <t>赵银</t>
    <phoneticPr fontId="4" type="noConversion"/>
  </si>
  <si>
    <t>郝晓春</t>
    <phoneticPr fontId="4" type="noConversion"/>
  </si>
  <si>
    <t>张婷</t>
    <phoneticPr fontId="4" type="noConversion"/>
  </si>
  <si>
    <t>毛克</t>
    <phoneticPr fontId="4" type="noConversion"/>
  </si>
  <si>
    <t>姜莉</t>
    <phoneticPr fontId="4" type="noConversion"/>
  </si>
  <si>
    <t>宋金花</t>
    <phoneticPr fontId="4" type="noConversion"/>
  </si>
  <si>
    <t>方月清</t>
    <phoneticPr fontId="4" type="noConversion"/>
  </si>
  <si>
    <t>周佳红</t>
    <phoneticPr fontId="4" type="noConversion"/>
  </si>
  <si>
    <t>陈超</t>
    <phoneticPr fontId="4" type="noConversion"/>
  </si>
  <si>
    <t>智传</t>
    <phoneticPr fontId="4" type="noConversion"/>
  </si>
  <si>
    <t>洪艺嘉</t>
    <phoneticPr fontId="4" type="noConversion"/>
  </si>
  <si>
    <t>唐广州</t>
    <phoneticPr fontId="4" type="noConversion"/>
  </si>
  <si>
    <t>章国萍</t>
    <phoneticPr fontId="4" type="noConversion"/>
  </si>
  <si>
    <t>张超阳</t>
    <phoneticPr fontId="4" type="noConversion"/>
  </si>
  <si>
    <t>赵华娟</t>
    <phoneticPr fontId="4" type="noConversion"/>
  </si>
  <si>
    <t>童建请</t>
    <phoneticPr fontId="4" type="noConversion"/>
  </si>
  <si>
    <t>王永夫</t>
    <phoneticPr fontId="4" type="noConversion"/>
  </si>
  <si>
    <t>陈登谷</t>
    <phoneticPr fontId="4" type="noConversion"/>
  </si>
  <si>
    <t>李邦杰</t>
    <phoneticPr fontId="4" type="noConversion"/>
  </si>
  <si>
    <t>王胜鹏</t>
    <phoneticPr fontId="4" type="noConversion"/>
  </si>
  <si>
    <t>李燕红</t>
    <phoneticPr fontId="4" type="noConversion"/>
  </si>
  <si>
    <t>谢益峰</t>
    <phoneticPr fontId="4" type="noConversion"/>
  </si>
  <si>
    <t>王宁儿</t>
    <phoneticPr fontId="4" type="noConversion"/>
  </si>
  <si>
    <t>梅高鹏</t>
    <phoneticPr fontId="4" type="noConversion"/>
  </si>
  <si>
    <t>陈军甫</t>
    <phoneticPr fontId="4" type="noConversion"/>
  </si>
  <si>
    <t>董国郁</t>
    <phoneticPr fontId="4" type="noConversion"/>
  </si>
  <si>
    <t>朱勇</t>
    <phoneticPr fontId="4" type="noConversion"/>
  </si>
  <si>
    <t>钱王洁</t>
    <phoneticPr fontId="4" type="noConversion"/>
  </si>
  <si>
    <t>敬小波</t>
    <phoneticPr fontId="4" type="noConversion"/>
  </si>
  <si>
    <t>杨丹丹</t>
    <phoneticPr fontId="4" type="noConversion"/>
  </si>
  <si>
    <t>沈燕</t>
    <phoneticPr fontId="4" type="noConversion"/>
  </si>
  <si>
    <t>王力引</t>
    <phoneticPr fontId="4" type="noConversion"/>
  </si>
  <si>
    <t>合成</t>
    <phoneticPr fontId="4" type="noConversion"/>
  </si>
  <si>
    <t>古洋</t>
    <phoneticPr fontId="4" type="noConversion"/>
  </si>
  <si>
    <t>梁璠</t>
    <phoneticPr fontId="4" type="noConversion"/>
  </si>
  <si>
    <t>沈斌锋</t>
    <phoneticPr fontId="4" type="noConversion"/>
  </si>
  <si>
    <t>杨雅倩</t>
    <phoneticPr fontId="4" type="noConversion"/>
  </si>
  <si>
    <t>何军</t>
    <phoneticPr fontId="4" type="noConversion"/>
  </si>
  <si>
    <t>大江东三车间</t>
    <phoneticPr fontId="4" type="noConversion"/>
  </si>
  <si>
    <t>胡向军</t>
    <phoneticPr fontId="4" type="noConversion"/>
  </si>
  <si>
    <t>李志东</t>
    <phoneticPr fontId="4" type="noConversion"/>
  </si>
  <si>
    <t>大江东质检</t>
    <phoneticPr fontId="4" type="noConversion"/>
  </si>
  <si>
    <t>何东阳</t>
    <phoneticPr fontId="4" type="noConversion"/>
  </si>
  <si>
    <t>丁清清</t>
    <rPh sb="0" eb="2">
      <t>ding qing qing</t>
    </rPh>
    <phoneticPr fontId="4" type="noConversion"/>
  </si>
  <si>
    <t>高璋丽</t>
    <phoneticPr fontId="4" type="noConversion"/>
  </si>
  <si>
    <t>赵逸宁</t>
    <phoneticPr fontId="4" type="noConversion"/>
  </si>
  <si>
    <t>李瑶瑶</t>
    <phoneticPr fontId="4" type="noConversion"/>
  </si>
  <si>
    <t>付松平</t>
    <phoneticPr fontId="4" type="noConversion"/>
  </si>
  <si>
    <t>华银洁</t>
  </si>
  <si>
    <t>CH18096</t>
  </si>
  <si>
    <t>郭飞</t>
  </si>
  <si>
    <t>CH18075</t>
  </si>
  <si>
    <t>CH18095</t>
  </si>
  <si>
    <t>黄玮</t>
  </si>
  <si>
    <t>郦金炯</t>
  </si>
  <si>
    <t>CH18088</t>
  </si>
  <si>
    <t>赵佳丽</t>
  </si>
  <si>
    <t>CH18094</t>
  </si>
  <si>
    <t>周超群</t>
  </si>
  <si>
    <t>CH18092</t>
  </si>
  <si>
    <t>黄杜荣</t>
  </si>
  <si>
    <t>CH18090</t>
  </si>
  <si>
    <t>CH18087</t>
  </si>
  <si>
    <t>王力引</t>
  </si>
  <si>
    <t>CH18089</t>
  </si>
  <si>
    <t>罗巨涛</t>
  </si>
  <si>
    <t>CH18082</t>
  </si>
  <si>
    <t>王彩彩</t>
  </si>
  <si>
    <t>CH18071</t>
  </si>
  <si>
    <t>洪雅</t>
  </si>
  <si>
    <t>高菲</t>
  </si>
  <si>
    <t>CH18070</t>
  </si>
  <si>
    <t>CH18086</t>
  </si>
  <si>
    <t>马丹</t>
  </si>
  <si>
    <t>CH18074</t>
  </si>
  <si>
    <t>韩丹</t>
  </si>
  <si>
    <t>CH18049</t>
  </si>
  <si>
    <t>朱佳峰</t>
  </si>
  <si>
    <t>CH18054</t>
  </si>
  <si>
    <t>王忆泓</t>
  </si>
  <si>
    <t>CH18083</t>
  </si>
  <si>
    <t>牛露凯</t>
  </si>
  <si>
    <t>CH18052</t>
  </si>
  <si>
    <t>王协强</t>
  </si>
  <si>
    <t>CH18061</t>
  </si>
  <si>
    <t>余小宝</t>
  </si>
  <si>
    <t>CH18064</t>
  </si>
  <si>
    <t>黄利清</t>
  </si>
  <si>
    <t>CH18047</t>
  </si>
  <si>
    <t>唐德军</t>
  </si>
  <si>
    <t>CH18048</t>
  </si>
  <si>
    <t>刘伟涛</t>
  </si>
  <si>
    <t>CH18050</t>
  </si>
  <si>
    <t>沈国惠</t>
  </si>
  <si>
    <t>CH18053</t>
  </si>
  <si>
    <t>齐志高</t>
  </si>
  <si>
    <t>CH18056</t>
  </si>
  <si>
    <t>梁春冉</t>
  </si>
  <si>
    <t>CH18065</t>
  </si>
  <si>
    <t>孙第</t>
  </si>
  <si>
    <t>CH18057</t>
  </si>
  <si>
    <t>俞建萍</t>
  </si>
  <si>
    <t>CH18063</t>
  </si>
  <si>
    <t>CH18059</t>
  </si>
  <si>
    <t>CH18062</t>
  </si>
  <si>
    <t>陈凯</t>
  </si>
  <si>
    <t>CH18060</t>
  </si>
  <si>
    <t>张丹丹</t>
  </si>
  <si>
    <t>CH18058</t>
  </si>
  <si>
    <t>朱玉婷</t>
  </si>
  <si>
    <t>CH18045</t>
  </si>
  <si>
    <t>周远帆</t>
  </si>
  <si>
    <t>CH18042</t>
  </si>
  <si>
    <t>刘影</t>
  </si>
  <si>
    <t>CH18043</t>
  </si>
  <si>
    <t>CH18044</t>
  </si>
  <si>
    <t>俞佳锋</t>
  </si>
  <si>
    <t>9103</t>
  </si>
  <si>
    <t>10944</t>
  </si>
  <si>
    <t>8270</t>
  </si>
  <si>
    <t>10142</t>
  </si>
  <si>
    <t>9524</t>
  </si>
  <si>
    <t>14654</t>
  </si>
  <si>
    <t>5893</t>
  </si>
  <si>
    <t>18522</t>
  </si>
  <si>
    <t>17183</t>
  </si>
  <si>
    <t>11099</t>
  </si>
  <si>
    <t>12818</t>
  </si>
  <si>
    <t>5859</t>
  </si>
  <si>
    <t>1221</t>
  </si>
  <si>
    <t>9715</t>
  </si>
  <si>
    <t>21642</t>
  </si>
  <si>
    <t>21341</t>
  </si>
  <si>
    <t>9358</t>
  </si>
  <si>
    <t>3904</t>
  </si>
  <si>
    <t>20714</t>
  </si>
  <si>
    <t>20129</t>
  </si>
  <si>
    <t>21148</t>
  </si>
  <si>
    <t>2525</t>
  </si>
  <si>
    <t>11144</t>
  </si>
  <si>
    <t>2963</t>
  </si>
  <si>
    <t>4851</t>
  </si>
  <si>
    <t>7340</t>
  </si>
  <si>
    <t>1908</t>
  </si>
  <si>
    <t>1595</t>
  </si>
  <si>
    <t>21129</t>
  </si>
  <si>
    <t>20297</t>
  </si>
  <si>
    <t>2114</t>
  </si>
  <si>
    <t>8486</t>
  </si>
  <si>
    <t>21095</t>
  </si>
  <si>
    <t>21246</t>
  </si>
  <si>
    <t>12925</t>
  </si>
  <si>
    <t>14970</t>
  </si>
  <si>
    <t>12799</t>
  </si>
  <si>
    <t>朱海波</t>
  </si>
  <si>
    <t>CH18084</t>
  </si>
  <si>
    <t>向莲燕</t>
  </si>
  <si>
    <t>CH18066</t>
  </si>
  <si>
    <t>朱钟波</t>
  </si>
  <si>
    <t>牟静</t>
  </si>
  <si>
    <t>CH18069</t>
  </si>
  <si>
    <t>CH18046</t>
    <phoneticPr fontId="2" type="noConversion"/>
  </si>
  <si>
    <t>灵越</t>
    <phoneticPr fontId="2" type="noConversion"/>
  </si>
  <si>
    <t>7635</t>
  </si>
  <si>
    <t>丁丽潇</t>
  </si>
  <si>
    <t>12824</t>
  </si>
  <si>
    <t>方佳丽</t>
  </si>
  <si>
    <t>13333</t>
  </si>
  <si>
    <t>朱苹苹</t>
  </si>
  <si>
    <t>10908</t>
  </si>
  <si>
    <t>徐瑾</t>
  </si>
  <si>
    <t>8935</t>
  </si>
  <si>
    <t>王厚强</t>
  </si>
  <si>
    <t>5976</t>
  </si>
  <si>
    <t>陈英英</t>
  </si>
  <si>
    <t>21661</t>
  </si>
  <si>
    <t>张亚东</t>
  </si>
  <si>
    <t>21766</t>
  </si>
  <si>
    <t>马学武</t>
  </si>
  <si>
    <t>21800</t>
  </si>
  <si>
    <t>赖忠开</t>
  </si>
  <si>
    <t>21750</t>
  </si>
  <si>
    <t>赵磊</t>
  </si>
  <si>
    <t>11408</t>
  </si>
  <si>
    <t>金丽玲</t>
  </si>
  <si>
    <t>675</t>
  </si>
  <si>
    <t>周丽萍</t>
  </si>
  <si>
    <t>7932</t>
  </si>
  <si>
    <t>李旭军</t>
  </si>
  <si>
    <t>5783</t>
  </si>
  <si>
    <t>乐翔</t>
  </si>
  <si>
    <t>21014</t>
  </si>
  <si>
    <t>倪凡笑</t>
  </si>
  <si>
    <t>3562</t>
  </si>
  <si>
    <t>张海婴</t>
  </si>
  <si>
    <t>1473</t>
  </si>
  <si>
    <t>陈建平</t>
  </si>
  <si>
    <t>21650</t>
  </si>
  <si>
    <t>金旭明</t>
  </si>
  <si>
    <t>21759</t>
  </si>
  <si>
    <t>陈梅梅</t>
  </si>
  <si>
    <t>12730</t>
  </si>
  <si>
    <t>黄京海</t>
  </si>
  <si>
    <t>21735</t>
  </si>
  <si>
    <t>刘新</t>
  </si>
  <si>
    <t>12841</t>
  </si>
  <si>
    <t>方源</t>
  </si>
  <si>
    <t>1349</t>
  </si>
  <si>
    <t>曹晓文</t>
  </si>
  <si>
    <t>20891</t>
  </si>
  <si>
    <t>周丽沙</t>
  </si>
  <si>
    <t>10395</t>
  </si>
  <si>
    <t>丁凌峰</t>
  </si>
  <si>
    <t>1895</t>
  </si>
  <si>
    <t>於伟刚</t>
  </si>
  <si>
    <t>13192</t>
  </si>
  <si>
    <t>鲁枫</t>
  </si>
  <si>
    <t>LLCNB1810A0071</t>
  </si>
  <si>
    <t>LLCNB1810D0132</t>
  </si>
  <si>
    <t>LLCNB1810D0156</t>
  </si>
  <si>
    <t>LLCNB1810A0095</t>
  </si>
  <si>
    <t>LLCNB1810A0072</t>
  </si>
  <si>
    <t>LLCNB1810D0153</t>
  </si>
  <si>
    <t>LLCNB1810D0155</t>
  </si>
  <si>
    <t>LLCNB1810D0142</t>
  </si>
  <si>
    <t>LLCNB1810D0154</t>
  </si>
  <si>
    <t>LLCNB1810D0141</t>
  </si>
  <si>
    <t>LLCNB1810D0133</t>
  </si>
  <si>
    <t>LLCNB1810A0098</t>
  </si>
  <si>
    <t>LLCNB1810D0134</t>
  </si>
  <si>
    <t>LLCNB1810D0080</t>
  </si>
  <si>
    <t>LLCNB1810A0070</t>
  </si>
  <si>
    <t>LLCNB1810A0006</t>
  </si>
  <si>
    <t>LLCNB1810A0004</t>
  </si>
  <si>
    <t>LLCNB1810D0019</t>
  </si>
  <si>
    <t>LLCNB1810D0018</t>
  </si>
  <si>
    <t>LLCNB1809AE0002</t>
  </si>
  <si>
    <t>LLCNB1810D0022</t>
  </si>
  <si>
    <t>LLCNB1807D0105</t>
  </si>
  <si>
    <t>LLCNB1808D0119</t>
  </si>
  <si>
    <t>LLCNB1807D0089</t>
  </si>
  <si>
    <t>LLCNB180600205</t>
  </si>
  <si>
    <t>LLCNB1808D0118</t>
  </si>
  <si>
    <t>PB03A3Q8</t>
    <phoneticPr fontId="2" type="noConversion"/>
  </si>
  <si>
    <t>15522</t>
    <phoneticPr fontId="2" type="noConversion"/>
  </si>
  <si>
    <t>赵雯丽</t>
    <phoneticPr fontId="2" type="noConversion"/>
  </si>
  <si>
    <t>4025</t>
  </si>
  <si>
    <t>戚百尧</t>
  </si>
  <si>
    <t>BA0183500DBJ18AH0025</t>
    <phoneticPr fontId="2" type="noConversion"/>
  </si>
  <si>
    <t>12761</t>
  </si>
  <si>
    <t>赵海儒</t>
  </si>
  <si>
    <t>12234</t>
  </si>
  <si>
    <t>诸潞冬</t>
  </si>
  <si>
    <t>PB02YJYX</t>
    <phoneticPr fontId="2" type="noConversion"/>
  </si>
  <si>
    <t>收回</t>
    <rPh sb="0" eb="2">
      <t>shou hui</t>
    </rPh>
    <phoneticPr fontId="2" type="noConversion"/>
  </si>
  <si>
    <t>易点租</t>
    <rPh sb="0" eb="2">
      <t>yi dian zu</t>
    </rPh>
    <phoneticPr fontId="2" type="noConversion"/>
  </si>
  <si>
    <t>PB02AMAB</t>
    <phoneticPr fontId="2" type="noConversion"/>
  </si>
  <si>
    <t>丘轶敏</t>
    <phoneticPr fontId="2" type="noConversion"/>
  </si>
  <si>
    <t>楼苗苗</t>
    <rPh sb="0" eb="2">
      <t>lou m m</t>
    </rPh>
    <phoneticPr fontId="3" type="noConversion"/>
  </si>
  <si>
    <t>易点租</t>
    <rPh sb="0" eb="2">
      <t>yi dian z</t>
    </rPh>
    <phoneticPr fontId="2" type="noConversion"/>
  </si>
  <si>
    <t>显示器</t>
    <rPh sb="0" eb="2">
      <t>xian shi q</t>
    </rPh>
    <phoneticPr fontId="2" type="noConversion"/>
  </si>
  <si>
    <t>发票抬头</t>
    <rPh sb="0" eb="2">
      <t>fa p</t>
    </rPh>
    <phoneticPr fontId="2" type="noConversion"/>
  </si>
  <si>
    <t>张克雄</t>
    <rPh sb="0" eb="2">
      <t>zhang ke xiong</t>
    </rPh>
    <phoneticPr fontId="4" type="noConversion"/>
  </si>
  <si>
    <t>传化智联股份有限公司</t>
    <rPh sb="0" eb="2">
      <t>chuan hua</t>
    </rPh>
    <phoneticPr fontId="2" type="noConversion"/>
  </si>
  <si>
    <t>浙江传化化学集团有限公司</t>
    <rPh sb="0" eb="2">
      <t>zhe j</t>
    </rPh>
    <phoneticPr fontId="2" type="noConversion"/>
  </si>
  <si>
    <t>浙江传化华洋化工有限公司</t>
    <rPh sb="0" eb="2">
      <t>zhe j</t>
    </rPh>
    <phoneticPr fontId="2" type="noConversion"/>
  </si>
  <si>
    <t>浙江传化涂料有限公司</t>
    <rPh sb="0" eb="2">
      <t>zhe j</t>
    </rPh>
    <phoneticPr fontId="2" type="noConversion"/>
  </si>
  <si>
    <t>浙江传化天松新材料有限公司</t>
    <rPh sb="0" eb="2">
      <t>zhe j</t>
    </rPh>
    <phoneticPr fontId="2" type="noConversion"/>
  </si>
  <si>
    <t>浙江传化合成材料有限公司</t>
    <rPh sb="0" eb="2">
      <t>zhe j</t>
    </rPh>
    <phoneticPr fontId="2" type="noConversion"/>
  </si>
  <si>
    <t>广东传化富联精细化工有限公司</t>
    <phoneticPr fontId="2" type="noConversion"/>
  </si>
  <si>
    <t>杭州传化化学品有限公司</t>
    <phoneticPr fontId="2" type="noConversion"/>
  </si>
  <si>
    <t>投影仪</t>
    <rPh sb="0" eb="2">
      <t>tou ying yi</t>
    </rPh>
    <phoneticPr fontId="2" type="noConversion"/>
  </si>
  <si>
    <t>郭俊霞</t>
    <phoneticPr fontId="4" type="noConversion"/>
  </si>
  <si>
    <t>陈志华</t>
    <phoneticPr fontId="4" type="noConversion"/>
  </si>
  <si>
    <t>PF00JJAM</t>
    <phoneticPr fontId="3" type="noConversion"/>
  </si>
  <si>
    <t>PF0N67W3</t>
    <phoneticPr fontId="3" type="noConversion"/>
  </si>
  <si>
    <t>R9YWWZ9</t>
    <phoneticPr fontId="3" type="noConversion"/>
  </si>
  <si>
    <t>易点租</t>
    <phoneticPr fontId="2" type="noConversion"/>
  </si>
  <si>
    <t>PC005TRX</t>
    <phoneticPr fontId="3" type="noConversion"/>
  </si>
  <si>
    <t>LLCNB180200254</t>
    <phoneticPr fontId="3" type="noConversion"/>
  </si>
  <si>
    <t>联想租赁</t>
    <phoneticPr fontId="2" type="noConversion"/>
  </si>
  <si>
    <t>PK21B7Y</t>
    <phoneticPr fontId="3" type="noConversion"/>
  </si>
  <si>
    <t>R9HHNVV</t>
    <phoneticPr fontId="3" type="noConversion"/>
  </si>
  <si>
    <t>LENR9KE5PC</t>
    <phoneticPr fontId="3" type="noConversion"/>
  </si>
  <si>
    <t>LENR9YWWZ9</t>
    <phoneticPr fontId="3" type="noConversion"/>
  </si>
  <si>
    <t>LENPB5GT4T</t>
    <phoneticPr fontId="3" type="noConversion"/>
  </si>
  <si>
    <t>PBN1TN7</t>
    <phoneticPr fontId="3" type="noConversion"/>
  </si>
  <si>
    <t>R9F6ZNN</t>
    <phoneticPr fontId="3" type="noConversion"/>
  </si>
  <si>
    <t>PC0AAL9G</t>
    <phoneticPr fontId="3" type="noConversion"/>
  </si>
  <si>
    <t>R9K3P58</t>
    <phoneticPr fontId="3" type="noConversion"/>
  </si>
  <si>
    <t>LLCNB1804D0213</t>
    <phoneticPr fontId="3" type="noConversion"/>
  </si>
  <si>
    <t>R9X2PGR</t>
    <phoneticPr fontId="3" type="noConversion"/>
  </si>
  <si>
    <t>LLCNB1810D0021</t>
    <phoneticPr fontId="2" type="noConversion"/>
  </si>
  <si>
    <t>C10978</t>
    <phoneticPr fontId="2" type="noConversion"/>
  </si>
  <si>
    <t>C10760</t>
    <phoneticPr fontId="2" type="noConversion"/>
  </si>
  <si>
    <t>C10670</t>
    <phoneticPr fontId="2" type="noConversion"/>
  </si>
  <si>
    <t>钱燕飞</t>
    <phoneticPr fontId="4" type="noConversion"/>
  </si>
  <si>
    <t>金蝉</t>
    <phoneticPr fontId="4" type="noConversion"/>
  </si>
  <si>
    <t>陆才华</t>
    <phoneticPr fontId="4" type="noConversion"/>
  </si>
  <si>
    <t>高涵钦</t>
    <phoneticPr fontId="4" type="noConversion"/>
  </si>
  <si>
    <t>王凯</t>
    <phoneticPr fontId="4" type="noConversion"/>
  </si>
  <si>
    <t>卢科</t>
    <phoneticPr fontId="4" type="noConversion"/>
  </si>
  <si>
    <t>毛如升</t>
    <phoneticPr fontId="4" type="noConversion"/>
  </si>
  <si>
    <t>叶倩雯</t>
    <phoneticPr fontId="4" type="noConversion"/>
  </si>
  <si>
    <t>精细化工</t>
    <rPh sb="0" eb="2">
      <t>qiao n</t>
    </rPh>
    <phoneticPr fontId="2" type="noConversion"/>
  </si>
  <si>
    <t>精细化工</t>
    <rPh sb="0" eb="2">
      <t>jing h</t>
    </rPh>
    <phoneticPr fontId="2" type="noConversion"/>
  </si>
  <si>
    <t>精细化工</t>
    <phoneticPr fontId="2" type="noConversion"/>
  </si>
  <si>
    <t>浙江传化合成材料有限公司</t>
    <phoneticPr fontId="2" type="noConversion"/>
  </si>
  <si>
    <t>浙江传化华洋化工有限公司</t>
    <phoneticPr fontId="2" type="noConversion"/>
  </si>
  <si>
    <t>浙江传化化学集团有限公司</t>
    <phoneticPr fontId="2" type="noConversion"/>
  </si>
  <si>
    <t>浙江传化天松新材料有限公司</t>
    <phoneticPr fontId="2" type="noConversion"/>
  </si>
  <si>
    <t>浙江传化涂料有限公司</t>
    <phoneticPr fontId="2" type="noConversion"/>
  </si>
  <si>
    <t>R9FE9AG</t>
    <phoneticPr fontId="2" type="noConversion"/>
  </si>
  <si>
    <t>吴建华</t>
    <phoneticPr fontId="2" type="noConversion"/>
  </si>
  <si>
    <t>赵益民</t>
    <phoneticPr fontId="2" type="noConversion"/>
  </si>
  <si>
    <t>傅幼林</t>
    <phoneticPr fontId="2" type="noConversion"/>
  </si>
  <si>
    <t>罗巨涛</t>
    <phoneticPr fontId="2" type="noConversion"/>
  </si>
  <si>
    <t>朱军</t>
    <phoneticPr fontId="2" type="noConversion"/>
  </si>
  <si>
    <t>李彦海</t>
    <phoneticPr fontId="2" type="noConversion"/>
  </si>
  <si>
    <t>屈亚平</t>
    <phoneticPr fontId="2" type="noConversion"/>
  </si>
  <si>
    <t>黄京海</t>
    <phoneticPr fontId="2" type="noConversion"/>
  </si>
  <si>
    <t>赵梅</t>
    <phoneticPr fontId="2" type="noConversion"/>
  </si>
  <si>
    <t>王峰涛</t>
    <phoneticPr fontId="2" type="noConversion"/>
  </si>
  <si>
    <t>鲁国峰</t>
    <phoneticPr fontId="2" type="noConversion"/>
  </si>
  <si>
    <t>王子道</t>
    <phoneticPr fontId="2" type="noConversion"/>
  </si>
  <si>
    <t>余建国</t>
    <phoneticPr fontId="2" type="noConversion"/>
  </si>
  <si>
    <t>李峰</t>
    <phoneticPr fontId="2" type="noConversion"/>
  </si>
  <si>
    <t>李明霞</t>
    <phoneticPr fontId="2" type="noConversion"/>
  </si>
  <si>
    <t>谢国建</t>
    <phoneticPr fontId="2" type="noConversion"/>
  </si>
  <si>
    <t>张学琪</t>
    <phoneticPr fontId="2" type="noConversion"/>
  </si>
  <si>
    <t>王长银</t>
    <phoneticPr fontId="2" type="noConversion"/>
  </si>
  <si>
    <t>陈华锋</t>
    <phoneticPr fontId="2" type="noConversion"/>
  </si>
  <si>
    <t>朱涤飞</t>
    <phoneticPr fontId="2" type="noConversion"/>
  </si>
  <si>
    <t>沈巨军</t>
    <phoneticPr fontId="2" type="noConversion"/>
  </si>
  <si>
    <t>陈伶</t>
    <phoneticPr fontId="2" type="noConversion"/>
  </si>
  <si>
    <t>李旭文</t>
    <phoneticPr fontId="2" type="noConversion"/>
  </si>
  <si>
    <t>邱锋利</t>
    <phoneticPr fontId="2" type="noConversion"/>
  </si>
  <si>
    <t>陈波</t>
    <phoneticPr fontId="2" type="noConversion"/>
  </si>
  <si>
    <t>王胜鹏</t>
    <phoneticPr fontId="2" type="noConversion"/>
  </si>
  <si>
    <t>王浩然</t>
    <phoneticPr fontId="2" type="noConversion"/>
  </si>
  <si>
    <t>秦林生</t>
    <phoneticPr fontId="2" type="noConversion"/>
  </si>
  <si>
    <t>杨希才</t>
    <phoneticPr fontId="2" type="noConversion"/>
  </si>
  <si>
    <t>陈敬耀</t>
    <phoneticPr fontId="2" type="noConversion"/>
  </si>
  <si>
    <t>杨中新</t>
    <phoneticPr fontId="2" type="noConversion"/>
  </si>
  <si>
    <t>杨万清</t>
    <phoneticPr fontId="2" type="noConversion"/>
  </si>
  <si>
    <t>孔凡鹰</t>
    <phoneticPr fontId="2" type="noConversion"/>
  </si>
  <si>
    <t>张少明</t>
    <phoneticPr fontId="2" type="noConversion"/>
  </si>
  <si>
    <t>徐峰</t>
    <phoneticPr fontId="2" type="noConversion"/>
  </si>
  <si>
    <t>范莉莉</t>
    <phoneticPr fontId="2" type="noConversion"/>
  </si>
  <si>
    <t>崔东亮</t>
    <phoneticPr fontId="2" type="noConversion"/>
  </si>
  <si>
    <t>PBARCYV</t>
  </si>
  <si>
    <t>资产分类</t>
  </si>
  <si>
    <t>品牌</t>
  </si>
  <si>
    <t>型号</t>
  </si>
  <si>
    <t>设备序列号</t>
  </si>
  <si>
    <t>金额</t>
  </si>
  <si>
    <t>购置/起租日期</t>
  </si>
  <si>
    <t>供应商</t>
  </si>
  <si>
    <t>处理器</t>
  </si>
  <si>
    <t>内存</t>
  </si>
  <si>
    <t>硬盘</t>
  </si>
  <si>
    <t/>
  </si>
  <si>
    <t>笔记本电脑</t>
  </si>
  <si>
    <t>戴尔/DELL</t>
  </si>
  <si>
    <t>E5470U</t>
  </si>
  <si>
    <t>248.00</t>
  </si>
  <si>
    <t>2016/11/28</t>
  </si>
  <si>
    <t>易点租</t>
  </si>
  <si>
    <t>i5</t>
  </si>
  <si>
    <t>8G</t>
  </si>
  <si>
    <t>256G SSD</t>
  </si>
  <si>
    <t xml:space="preserve"> E5470H</t>
  </si>
  <si>
    <t>7HSHPC2</t>
  </si>
  <si>
    <t>378.00</t>
  </si>
  <si>
    <t>2017/02/22</t>
  </si>
  <si>
    <t>i7</t>
  </si>
  <si>
    <t>16G</t>
  </si>
  <si>
    <t>ThinkPad</t>
  </si>
  <si>
    <t>T430</t>
  </si>
  <si>
    <t>PB80CZF</t>
  </si>
  <si>
    <t>118.00</t>
  </si>
  <si>
    <t>2017/03/07</t>
  </si>
  <si>
    <t>500G</t>
  </si>
  <si>
    <t>主机</t>
  </si>
  <si>
    <t>3046M</t>
  </si>
  <si>
    <t>GKWQZG2</t>
  </si>
  <si>
    <t>98.00</t>
  </si>
  <si>
    <t>2017/03/11</t>
  </si>
  <si>
    <t>GL0MZG2</t>
  </si>
  <si>
    <t>GL4QZG2</t>
  </si>
  <si>
    <t>GMJTZG2</t>
  </si>
  <si>
    <t>GMNVZG2</t>
  </si>
  <si>
    <t>GMRSZG2</t>
  </si>
  <si>
    <t>显示器</t>
  </si>
  <si>
    <t>E2216H</t>
  </si>
  <si>
    <t>CN09YCCM728726CRC43U</t>
  </si>
  <si>
    <t>33.00</t>
  </si>
  <si>
    <t>2017/03/17</t>
  </si>
  <si>
    <t>CN09YCCM728726CRC4HU</t>
  </si>
  <si>
    <t>CN09YCCM728726CRC4LU</t>
  </si>
  <si>
    <t>CN09YCCM728726CRC4MU</t>
  </si>
  <si>
    <t>CN09YCCM728726CRC4RU</t>
  </si>
  <si>
    <t>CN09YCCM728726CRC4TU</t>
  </si>
  <si>
    <t>CN09YCCM728726CRCDPU</t>
  </si>
  <si>
    <t>CN09YCCM728726CRCE4U</t>
  </si>
  <si>
    <t>CN09YCCM728726CSC15I</t>
  </si>
  <si>
    <t>13</t>
  </si>
  <si>
    <t>238.00</t>
  </si>
  <si>
    <t>2017/03/28</t>
  </si>
  <si>
    <t>X220</t>
  </si>
  <si>
    <t>R9K08Z2</t>
  </si>
  <si>
    <t>92.00</t>
  </si>
  <si>
    <t>2017/04/04</t>
  </si>
  <si>
    <t>R9K3P58</t>
  </si>
  <si>
    <t>R9MFBHH</t>
  </si>
  <si>
    <t>R9KD49K</t>
  </si>
  <si>
    <t>110.00</t>
  </si>
  <si>
    <t>2017/04/16</t>
  </si>
  <si>
    <t>R9N4LG7</t>
  </si>
  <si>
    <t>R9N51YX</t>
  </si>
  <si>
    <t>R9N6EH3</t>
  </si>
  <si>
    <t>E470</t>
  </si>
  <si>
    <t>PF0Q9XLR</t>
  </si>
  <si>
    <t>117.00</t>
  </si>
  <si>
    <t>2017/04/21</t>
  </si>
  <si>
    <t>i3</t>
  </si>
  <si>
    <t>4G</t>
  </si>
  <si>
    <t>120.00</t>
  </si>
  <si>
    <t>240G SSD</t>
  </si>
  <si>
    <t>E9NLTNC</t>
  </si>
  <si>
    <t>2017/04/26</t>
  </si>
  <si>
    <t>R9D837F</t>
  </si>
  <si>
    <t>R9ED38V</t>
  </si>
  <si>
    <t>R9PP48B</t>
  </si>
  <si>
    <t>R9HLLMR</t>
  </si>
  <si>
    <t>2017/05/06</t>
  </si>
  <si>
    <t>R9M80KY</t>
  </si>
  <si>
    <t>R9P1DL5</t>
  </si>
  <si>
    <t>P2717H</t>
  </si>
  <si>
    <t>CN0RFJJ37444565B053B</t>
  </si>
  <si>
    <t>95.00</t>
  </si>
  <si>
    <t>2017/05/27</t>
  </si>
  <si>
    <t>NXDEE2216H</t>
  </si>
  <si>
    <t>CN0WYPR4FCC0074IA16X</t>
  </si>
  <si>
    <t>32.00</t>
  </si>
  <si>
    <t>R9DKGG1</t>
  </si>
  <si>
    <t>2017/06/01</t>
  </si>
  <si>
    <t>R9EB03R</t>
  </si>
  <si>
    <t>R9P1B0L</t>
  </si>
  <si>
    <t>PB38MTT</t>
  </si>
  <si>
    <t>2017/06/15</t>
  </si>
  <si>
    <t>120G SSD</t>
  </si>
  <si>
    <t>PF0N5AF7</t>
  </si>
  <si>
    <t>99.00</t>
  </si>
  <si>
    <t>2017/06/28</t>
  </si>
  <si>
    <t>PF0N67W3</t>
  </si>
  <si>
    <t>X230</t>
  </si>
  <si>
    <t>R9TDEZ5</t>
  </si>
  <si>
    <t>115.00</t>
  </si>
  <si>
    <t>R9ZXBE9</t>
  </si>
  <si>
    <t>2017/07/11</t>
  </si>
  <si>
    <t>2017/07/14</t>
  </si>
  <si>
    <t>PK0CZAY</t>
  </si>
  <si>
    <t>2017/07/23</t>
  </si>
  <si>
    <t>R9Y5CPH</t>
  </si>
  <si>
    <t>R9YVT96</t>
  </si>
  <si>
    <t>PK0402L</t>
  </si>
  <si>
    <t>2017/08/03</t>
  </si>
  <si>
    <t>PK0W7L2</t>
  </si>
  <si>
    <t>PK1F965</t>
  </si>
  <si>
    <t>R9W5Z1T</t>
  </si>
  <si>
    <t>PBEFLXB</t>
  </si>
  <si>
    <t>158.00</t>
  </si>
  <si>
    <t>2017/08/06</t>
  </si>
  <si>
    <t>240G SSD + 240G</t>
  </si>
  <si>
    <t>PB1FTE2</t>
  </si>
  <si>
    <t>台式机</t>
  </si>
  <si>
    <t>EPEZE11</t>
  </si>
  <si>
    <t>85.00</t>
  </si>
  <si>
    <t>2017/08/05</t>
  </si>
  <si>
    <t>G4400</t>
  </si>
  <si>
    <t>EDCP16034D106</t>
  </si>
  <si>
    <t>2017/08/11</t>
  </si>
  <si>
    <t>2017/08/14</t>
  </si>
  <si>
    <t>R9VV6T6</t>
  </si>
  <si>
    <t>2017/08/17</t>
  </si>
  <si>
    <t>R9WFLG4</t>
  </si>
  <si>
    <t>X201</t>
  </si>
  <si>
    <t>R9BYXRW</t>
  </si>
  <si>
    <t>75.00</t>
  </si>
  <si>
    <t>2017/08/15</t>
  </si>
  <si>
    <t>320G</t>
  </si>
  <si>
    <t>PB5MNVK</t>
  </si>
  <si>
    <t>138.00</t>
  </si>
  <si>
    <t>2017/09/01</t>
  </si>
  <si>
    <t>PB3B0M0</t>
  </si>
  <si>
    <t>MG22678</t>
  </si>
  <si>
    <t>PK2KRHC</t>
  </si>
  <si>
    <t>R9Y6RT0</t>
  </si>
  <si>
    <t>飞利浦/PHILIPS</t>
  </si>
  <si>
    <t>240V5QSB</t>
  </si>
  <si>
    <t>38.00</t>
  </si>
  <si>
    <t>UK0A1731009945</t>
  </si>
  <si>
    <t>PK0DZNF</t>
  </si>
  <si>
    <t>2017/09/16</t>
  </si>
  <si>
    <t>PB9XBX8</t>
  </si>
  <si>
    <t>R9KAR02</t>
  </si>
  <si>
    <t>PK0EZDZ</t>
  </si>
  <si>
    <t>2017/09/21</t>
  </si>
  <si>
    <t>R9Z4GV7</t>
  </si>
  <si>
    <t>R9X0NGA</t>
  </si>
  <si>
    <t>2017/09/24</t>
  </si>
  <si>
    <t>R9ZEW2F</t>
  </si>
  <si>
    <t>2017/09/30</t>
  </si>
  <si>
    <t>PBE9P7B</t>
  </si>
  <si>
    <t>2017/10/12</t>
  </si>
  <si>
    <t>R9V0RMF</t>
  </si>
  <si>
    <t>2017/10/10</t>
  </si>
  <si>
    <t>R9M34R1</t>
  </si>
  <si>
    <t>105.00</t>
  </si>
  <si>
    <t>2017/10/14</t>
  </si>
  <si>
    <t>3677</t>
  </si>
  <si>
    <t>2017/10/18</t>
  </si>
  <si>
    <t>PBLERWW</t>
  </si>
  <si>
    <t>2017/10/16</t>
  </si>
  <si>
    <t>R9V50WR</t>
  </si>
  <si>
    <t>R9EY7CM</t>
  </si>
  <si>
    <t>R9KDD3L</t>
  </si>
  <si>
    <t>R9RC8CE</t>
  </si>
  <si>
    <t>R9WMRHR</t>
  </si>
  <si>
    <t>2017/10/20</t>
  </si>
  <si>
    <t>R9RGBN5</t>
  </si>
  <si>
    <t>2017/10/23</t>
  </si>
  <si>
    <t>联想/Lenovo</t>
  </si>
  <si>
    <t>M710s</t>
  </si>
  <si>
    <t>2017/10/26</t>
  </si>
  <si>
    <t>R9FE9AG</t>
  </si>
  <si>
    <t>2017/10/25</t>
  </si>
  <si>
    <t>3046SFF</t>
  </si>
  <si>
    <t>258.00</t>
  </si>
  <si>
    <t>1000G</t>
  </si>
  <si>
    <t>X1 Carbon</t>
  </si>
  <si>
    <t>PF0W3S8J</t>
  </si>
  <si>
    <t>438.00</t>
  </si>
  <si>
    <t>2017/11/06</t>
  </si>
  <si>
    <t>R9VL6DL</t>
  </si>
  <si>
    <t>2017/11/08</t>
  </si>
  <si>
    <t>PB5GT4T</t>
  </si>
  <si>
    <t>R9KE5PC</t>
  </si>
  <si>
    <t>2017/11/12</t>
  </si>
  <si>
    <t>R9MH6D6</t>
  </si>
  <si>
    <t>116.00</t>
  </si>
  <si>
    <t>2017/11/20</t>
  </si>
  <si>
    <t>T440p</t>
  </si>
  <si>
    <t>178.00</t>
  </si>
  <si>
    <t>2017/11/26</t>
  </si>
  <si>
    <t>R9HEBG1</t>
  </si>
  <si>
    <t>2017/11/29</t>
  </si>
  <si>
    <t>W530</t>
  </si>
  <si>
    <t>298.00</t>
  </si>
  <si>
    <t>2017/12/02</t>
  </si>
  <si>
    <t>R9WWF84</t>
  </si>
  <si>
    <t>2017/12/04</t>
  </si>
  <si>
    <t>2017/12/05</t>
  </si>
  <si>
    <t>PK1VLZ6</t>
  </si>
  <si>
    <t>100.00</t>
  </si>
  <si>
    <t>2017/12/19</t>
  </si>
  <si>
    <t>R9X4PGX</t>
  </si>
  <si>
    <t>R9Y6M4D</t>
  </si>
  <si>
    <t>T440</t>
  </si>
  <si>
    <t>2017/12/18</t>
  </si>
  <si>
    <t>PF018529</t>
  </si>
  <si>
    <t>PF0W77ZV</t>
  </si>
  <si>
    <t>188.00</t>
  </si>
  <si>
    <t>2017/12/21</t>
  </si>
  <si>
    <t>R9YWWZ9</t>
  </si>
  <si>
    <t>PB5088Z</t>
  </si>
  <si>
    <t>newS2</t>
  </si>
  <si>
    <t>228.00</t>
  </si>
  <si>
    <t>2017/12/26</t>
  </si>
  <si>
    <t>T440P</t>
  </si>
  <si>
    <t>PB00RBRZ</t>
  </si>
  <si>
    <t>205.00</t>
  </si>
  <si>
    <t>2018/01/01</t>
  </si>
  <si>
    <t>PK1X1KA</t>
  </si>
  <si>
    <t>PK21B7Y</t>
  </si>
  <si>
    <t>PK1ATLE</t>
  </si>
  <si>
    <t>PK1AV57</t>
  </si>
  <si>
    <t>PK1AVDX</t>
  </si>
  <si>
    <t>PK1X2V4</t>
  </si>
  <si>
    <t>R9VCNY3</t>
  </si>
  <si>
    <t>R9XXXPG</t>
  </si>
  <si>
    <t>R9XYABH</t>
  </si>
  <si>
    <t>PK1LPZM</t>
  </si>
  <si>
    <t>R9N8WKT</t>
  </si>
  <si>
    <t>2017/12/29</t>
  </si>
  <si>
    <t>R9PYMB5</t>
  </si>
  <si>
    <t>2018/01/02</t>
  </si>
  <si>
    <t>LR0ACPF6</t>
  </si>
  <si>
    <t>2018/01/08</t>
  </si>
  <si>
    <t>2018/01/13</t>
  </si>
  <si>
    <t>PK1ATCK</t>
  </si>
  <si>
    <t>2018/01/15</t>
  </si>
  <si>
    <t>R9YC775</t>
  </si>
  <si>
    <t>PC0054AN</t>
  </si>
  <si>
    <t>投影仪</t>
  </si>
  <si>
    <t>明基/BenQ</t>
  </si>
  <si>
    <t>MX</t>
  </si>
  <si>
    <t>PDCCH01784000</t>
  </si>
  <si>
    <t>2018/01/16</t>
  </si>
  <si>
    <t>R9H6FMD</t>
  </si>
  <si>
    <t>2018/01/14</t>
  </si>
  <si>
    <t>R9MLPK3</t>
  </si>
  <si>
    <t>2018/01/25</t>
  </si>
  <si>
    <t>R9VHRPH</t>
  </si>
  <si>
    <t>R9YVFVH</t>
  </si>
  <si>
    <t>R9EWBLV</t>
  </si>
  <si>
    <t>2018/01/24</t>
  </si>
  <si>
    <t>R9HE9RK</t>
  </si>
  <si>
    <t>R9TVMPX</t>
  </si>
  <si>
    <t>2018/01/28</t>
  </si>
  <si>
    <t>R9ZDX1P</t>
  </si>
  <si>
    <t>R9ZKFL9</t>
  </si>
  <si>
    <t>278.00</t>
  </si>
  <si>
    <t>2018/01/30</t>
  </si>
  <si>
    <t>2018/01/29</t>
  </si>
  <si>
    <t>PBN1TN7</t>
  </si>
  <si>
    <t>125.00</t>
  </si>
  <si>
    <t>2018/02/07</t>
  </si>
  <si>
    <t>R9EB05M</t>
  </si>
  <si>
    <t>2018/02/08</t>
  </si>
  <si>
    <t>R9REE5K</t>
  </si>
  <si>
    <t>R9L0APZ</t>
  </si>
  <si>
    <t>R9N8VZM</t>
  </si>
  <si>
    <t>R9EYB7K</t>
  </si>
  <si>
    <t>2018/02/09</t>
  </si>
  <si>
    <t>R9FV088</t>
  </si>
  <si>
    <t>R9F34EN</t>
  </si>
  <si>
    <t>2018/02/14</t>
  </si>
  <si>
    <t>R9F9WG0</t>
  </si>
  <si>
    <t>R9G774X</t>
  </si>
  <si>
    <t>R9L0AKA</t>
  </si>
  <si>
    <t>R9GAFM6</t>
  </si>
  <si>
    <t>2018/02/18</t>
  </si>
  <si>
    <t>R9M6H6P</t>
  </si>
  <si>
    <t>R9PNLGG</t>
  </si>
  <si>
    <t>X260</t>
  </si>
  <si>
    <t>PC0AXEU5</t>
  </si>
  <si>
    <t>2018/02/27</t>
  </si>
  <si>
    <t>8G SSD + 500G</t>
  </si>
  <si>
    <t>R9THDK1</t>
  </si>
  <si>
    <t>R9V0RRL</t>
  </si>
  <si>
    <t>R9X2PGR</t>
  </si>
  <si>
    <t>R9ZB284</t>
  </si>
  <si>
    <t>R9ZDATB</t>
  </si>
  <si>
    <t>X240</t>
  </si>
  <si>
    <t>PB03DLYU</t>
  </si>
  <si>
    <t>195.00</t>
  </si>
  <si>
    <t>240G</t>
  </si>
  <si>
    <t>PB0233B5</t>
  </si>
  <si>
    <t>145.00</t>
  </si>
  <si>
    <t>2018/02/28</t>
  </si>
  <si>
    <t>PC01G5HX</t>
  </si>
  <si>
    <t>R9N8X3G</t>
  </si>
  <si>
    <t>2018/02/25</t>
  </si>
  <si>
    <t>R9R2DAZ</t>
  </si>
  <si>
    <t>PB017Z6R</t>
  </si>
  <si>
    <t>2018/03/02</t>
  </si>
  <si>
    <t>R9V7CWH</t>
  </si>
  <si>
    <t>2018/03/03</t>
  </si>
  <si>
    <t>R9ZB246</t>
  </si>
  <si>
    <t>T470</t>
  </si>
  <si>
    <t>338.00</t>
  </si>
  <si>
    <t>128G SSD + 500G</t>
  </si>
  <si>
    <t>PB03A3Q8</t>
  </si>
  <si>
    <t>PC005TRX</t>
  </si>
  <si>
    <t>PF00S9S2</t>
  </si>
  <si>
    <t>PF01DKAH</t>
  </si>
  <si>
    <t>PF01FH57</t>
  </si>
  <si>
    <t>PB01KNMQ</t>
  </si>
  <si>
    <t>2018/03/04</t>
  </si>
  <si>
    <t>PB02YL3G</t>
  </si>
  <si>
    <t>R9FWTE5</t>
  </si>
  <si>
    <t>R9HHNVV</t>
  </si>
  <si>
    <t>R9L3F79</t>
  </si>
  <si>
    <t>R9F26YD</t>
  </si>
  <si>
    <t>2018/03/07</t>
  </si>
  <si>
    <t>R9GMPZR</t>
  </si>
  <si>
    <t>R9HM7WA</t>
  </si>
  <si>
    <t>R9L1M98</t>
  </si>
  <si>
    <t>2018/03/12</t>
  </si>
  <si>
    <t>2018/03/13</t>
  </si>
  <si>
    <t>PB03A3QE</t>
  </si>
  <si>
    <t>2018/03/18</t>
  </si>
  <si>
    <t>PC0067CQ</t>
  </si>
  <si>
    <t>PF00ZMYP</t>
  </si>
  <si>
    <t>2018/03/17</t>
  </si>
  <si>
    <t>PB01KNP2</t>
  </si>
  <si>
    <t>PB0235YP</t>
  </si>
  <si>
    <t>R9LL9MY</t>
  </si>
  <si>
    <t>2018/03/15</t>
  </si>
  <si>
    <t>R9P69BB</t>
  </si>
  <si>
    <t>T410</t>
  </si>
  <si>
    <t>R86AN64A81A</t>
  </si>
  <si>
    <t>2018/03/16</t>
  </si>
  <si>
    <t>PB03A3RN</t>
  </si>
  <si>
    <t>2018/03/26</t>
  </si>
  <si>
    <t>PB03C8HY</t>
  </si>
  <si>
    <t>PC005TQ9</t>
  </si>
  <si>
    <t>PF01DH4M</t>
  </si>
  <si>
    <t>PF0278XE</t>
  </si>
  <si>
    <t>日立</t>
  </si>
  <si>
    <t>F7E003465</t>
  </si>
  <si>
    <t>1005.00</t>
  </si>
  <si>
    <t>2018/03/27</t>
  </si>
  <si>
    <t>F7E003467</t>
  </si>
  <si>
    <t>PC007GGP</t>
  </si>
  <si>
    <t>2018/03/28</t>
  </si>
  <si>
    <t>PF00VEHC</t>
  </si>
  <si>
    <t>PF00ARJ9</t>
  </si>
  <si>
    <t>PF00J5J0</t>
  </si>
  <si>
    <t>PF00ZUR7</t>
  </si>
  <si>
    <t>R9F6ZNN</t>
  </si>
  <si>
    <t>2018/03/25</t>
  </si>
  <si>
    <t>R9GP44V</t>
  </si>
  <si>
    <t>R9L04N7</t>
  </si>
  <si>
    <t>R9LL9PT</t>
  </si>
  <si>
    <t>R9PP485</t>
  </si>
  <si>
    <t>R90PYSSM</t>
  </si>
  <si>
    <t>2018/04/04</t>
  </si>
  <si>
    <t>PC00AXF5</t>
  </si>
  <si>
    <t>2018/04/15</t>
  </si>
  <si>
    <t>3490</t>
  </si>
  <si>
    <t>2018/04/20</t>
  </si>
  <si>
    <t>1WHNDP2</t>
  </si>
  <si>
    <t>2018/04/21</t>
  </si>
  <si>
    <t>1WXNDP2</t>
  </si>
  <si>
    <t>2W8PFP2</t>
  </si>
  <si>
    <t>2XHNDP2</t>
  </si>
  <si>
    <t>JYHNDP2</t>
  </si>
  <si>
    <t>5XHNDP2</t>
  </si>
  <si>
    <t>60JNDP2</t>
  </si>
  <si>
    <t>CXHNDP2</t>
  </si>
  <si>
    <t>FZHNDP2</t>
  </si>
  <si>
    <t>GWHNDP2</t>
  </si>
  <si>
    <t>PB013EHF</t>
  </si>
  <si>
    <t>PB036M59</t>
  </si>
  <si>
    <t>PC021YQS</t>
  </si>
  <si>
    <t>PC021YR9</t>
  </si>
  <si>
    <t>PF00GA16</t>
  </si>
  <si>
    <t>PB01LZU0</t>
  </si>
  <si>
    <t>PB01PS0V</t>
  </si>
  <si>
    <t>PB02WP72</t>
  </si>
  <si>
    <t>PB02YJYX</t>
  </si>
  <si>
    <t>PF00Z3R1</t>
  </si>
  <si>
    <t>E94Z5K6</t>
  </si>
  <si>
    <t>70.00</t>
  </si>
  <si>
    <t>2018/05/03</t>
  </si>
  <si>
    <t>R99G6TH</t>
  </si>
  <si>
    <t>R9BXXD9</t>
  </si>
  <si>
    <t>R98WWHM</t>
  </si>
  <si>
    <t>2018/05/13</t>
  </si>
  <si>
    <t>2018/05/17</t>
  </si>
  <si>
    <t>PC00Z03Z</t>
  </si>
  <si>
    <t>113.00</t>
  </si>
  <si>
    <t>2018/05/27</t>
  </si>
  <si>
    <t>PB02EM7X</t>
  </si>
  <si>
    <t>PF00JJAM</t>
  </si>
  <si>
    <t>PF00M287</t>
  </si>
  <si>
    <t>218.00</t>
  </si>
  <si>
    <t>2018/05/26</t>
  </si>
  <si>
    <t>MH</t>
  </si>
  <si>
    <t>PD53J0122604E</t>
  </si>
  <si>
    <t>468.00</t>
  </si>
  <si>
    <t>2018/05/30</t>
  </si>
  <si>
    <t>PD53J0133604E</t>
  </si>
  <si>
    <t>PD53J0134704E</t>
  </si>
  <si>
    <t>T410专享</t>
  </si>
  <si>
    <t>R82MALY</t>
  </si>
  <si>
    <t>80.00</t>
  </si>
  <si>
    <t>2018/06/05</t>
  </si>
  <si>
    <t>T420</t>
  </si>
  <si>
    <t>103.00</t>
  </si>
  <si>
    <t>2018/07/20</t>
  </si>
  <si>
    <t>R80VT76</t>
  </si>
  <si>
    <t>90.00</t>
  </si>
  <si>
    <t>R98NLWF</t>
  </si>
  <si>
    <t>E34A Pro</t>
  </si>
  <si>
    <t>BA0183500DBJ18AH0007</t>
  </si>
  <si>
    <t>155.00</t>
  </si>
  <si>
    <t>2018/10/26</t>
  </si>
  <si>
    <t>BA0183500DBJ18AH0017</t>
  </si>
  <si>
    <t>BA0183500DBJ18AH0025</t>
  </si>
  <si>
    <t>BA0183500DBJ18AP0006</t>
  </si>
  <si>
    <t>2018/10/29</t>
  </si>
  <si>
    <t>PB94BZB</t>
  </si>
  <si>
    <t>2018/11/02</t>
  </si>
  <si>
    <t>PK2AEEH</t>
  </si>
  <si>
    <t>R9XDP4R</t>
  </si>
  <si>
    <t>R9XTXFV</t>
  </si>
  <si>
    <t>R9YEDKE</t>
  </si>
  <si>
    <t>PK21D26</t>
  </si>
  <si>
    <t>2018/11/13</t>
  </si>
  <si>
    <t>PK2C53X</t>
  </si>
  <si>
    <t>PK2C552</t>
  </si>
  <si>
    <t>PK2C59T</t>
  </si>
  <si>
    <t>R9YN7MP</t>
  </si>
  <si>
    <t>R9RFA29</t>
  </si>
  <si>
    <t>2018/11/20</t>
  </si>
  <si>
    <t>R9V7KY4</t>
  </si>
  <si>
    <t>R9YKGBW</t>
  </si>
  <si>
    <t>T480</t>
  </si>
  <si>
    <t>PF16MF8S</t>
  </si>
  <si>
    <t>355.00</t>
  </si>
  <si>
    <t>2018/11/25</t>
  </si>
  <si>
    <t>PF16MPRZ</t>
  </si>
  <si>
    <t>X280</t>
  </si>
  <si>
    <t>313.00</t>
  </si>
  <si>
    <t>2018/05/15</t>
  </si>
  <si>
    <t>R9XWTRP</t>
  </si>
  <si>
    <t>2018/04/27</t>
  </si>
  <si>
    <t>2018/04/14</t>
  </si>
  <si>
    <t>2018/04/02</t>
  </si>
  <si>
    <t>2018/03/24</t>
  </si>
  <si>
    <t>2018/04/23</t>
  </si>
  <si>
    <t>R9DXEKE</t>
  </si>
  <si>
    <t>R9PA6LW</t>
  </si>
  <si>
    <t>R9KCXMV</t>
  </si>
  <si>
    <t>R9PYMD0</t>
  </si>
  <si>
    <t>R9PGFVR</t>
  </si>
  <si>
    <t>R9ELKYY</t>
  </si>
  <si>
    <t>R9TWVV8</t>
  </si>
  <si>
    <t>2018/04/26</t>
  </si>
  <si>
    <t>HR1NFP2</t>
  </si>
  <si>
    <t>R9ELM8P</t>
  </si>
  <si>
    <t>2018/05/06</t>
  </si>
  <si>
    <t>PK1X0MC</t>
  </si>
  <si>
    <t>PK28E57</t>
  </si>
  <si>
    <t>LR0AWU1C</t>
  </si>
  <si>
    <t>PC0F4Z01</t>
  </si>
  <si>
    <t>2018/05/01</t>
  </si>
  <si>
    <t>R9PYME2</t>
  </si>
  <si>
    <t>2018/05/07</t>
  </si>
  <si>
    <t>R9W9GYY</t>
  </si>
  <si>
    <t>R9Z39RM</t>
  </si>
  <si>
    <t>R9TTAPG</t>
  </si>
  <si>
    <t>2018/05/25</t>
  </si>
  <si>
    <t>R9WVCK0</t>
  </si>
  <si>
    <t>2018/05/11</t>
  </si>
  <si>
    <t>R9TVME0</t>
  </si>
  <si>
    <t>4XQ6GM2</t>
  </si>
  <si>
    <t>4Y38GM2</t>
  </si>
  <si>
    <t>PK1W5MN</t>
  </si>
  <si>
    <t>PK18KVA</t>
  </si>
  <si>
    <t>UK0A1727017732</t>
    <phoneticPr fontId="2" type="noConversion"/>
  </si>
  <si>
    <t>UK0A1727017732</t>
    <rPh sb="0" eb="2">
      <t>xian shi q</t>
    </rPh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</si>
</sst>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9"/>
      <color rgb="FF000000"/>
      <name val="宋体"/>
      <family val="3"/>
      <charset val="134"/>
    </font>
    <font>
      <sz val="11"/>
      <color theme="1"/>
      <name val="等线"/>
      <family val="4"/>
      <charset val="134"/>
      <scheme val="minor"/>
    </font>
    <font>
      <sz val="10"/>
      <color theme="1"/>
      <name val="等线"/>
      <family val="4"/>
      <charset val="134"/>
      <scheme val="minor"/>
    </font>
    <font>
      <b/>
      <sz val="11"/>
      <color theme="1"/>
      <name val="等线"/>
      <family val="4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name val="微软雅黑"/>
      <family val="2"/>
      <charset val="134"/>
    </font>
    <font>
      <sz val="1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CC4E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49" fontId="7" fillId="0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6" fillId="0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1" xfId="0" applyBorder="1" applyAlignment="1"/>
    <xf numFmtId="0" fontId="9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4" borderId="0" xfId="0" applyFill="1">
      <alignment vertical="center"/>
    </xf>
    <xf numFmtId="0" fontId="10" fillId="5" borderId="0" xfId="0" applyFont="1" applyFill="1" applyAlignment="1">
      <alignment horizontal="center"/>
    </xf>
    <xf numFmtId="49" fontId="11" fillId="0" borderId="0" xfId="0" applyNumberFormat="1" applyFont="1" applyAlignment="1">
      <alignment horizontal="center" vertical="center"/>
    </xf>
    <xf numFmtId="0" fontId="0" fillId="0" borderId="0" xfId="0" applyFill="1">
      <alignment vertical="center"/>
    </xf>
  </cellXfs>
  <cellStyles count="2">
    <cellStyle name="常规" xfId="0" builtinId="0"/>
    <cellStyle name="警告文本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/>
  <dimension ref="A1:N599"/>
  <sheetViews>
    <sheetView tabSelected="1" workbookViewId="0">
      <selection activeCell="B134" sqref="B134"/>
    </sheetView>
  </sheetViews>
  <sheetFormatPr defaultColWidth="8.875" defaultRowHeight="14.25" x14ac:dyDescent="0.2"/>
  <cols>
    <col min="1" max="1" width="14.875" style="16" customWidth="1"/>
    <col min="2" max="2" width="29.625" style="16" bestFit="1" customWidth="1"/>
    <col min="3" max="3" width="10.125" style="16" customWidth="1"/>
    <col min="4" max="4" width="11" style="16" bestFit="1" customWidth="1"/>
    <col min="5" max="5" width="29.625" style="16" bestFit="1" customWidth="1"/>
    <col min="6" max="6" width="12.5" customWidth="1"/>
    <col min="11" max="11" width="7.125" bestFit="1" customWidth="1"/>
    <col min="12" max="12" width="2.875" bestFit="1" customWidth="1"/>
    <col min="13" max="13" width="3.75" bestFit="1" customWidth="1"/>
  </cols>
  <sheetData>
    <row r="1" spans="1:14" x14ac:dyDescent="0.2">
      <c r="A1" s="11" t="s">
        <v>496</v>
      </c>
      <c r="B1" s="11" t="s">
        <v>497</v>
      </c>
      <c r="C1" s="11" t="s">
        <v>495</v>
      </c>
      <c r="D1" s="11" t="s">
        <v>498</v>
      </c>
      <c r="E1" s="11" t="s">
        <v>1198</v>
      </c>
    </row>
    <row r="2" spans="1:14" x14ac:dyDescent="0.2">
      <c r="A2" s="14" t="s">
        <v>513</v>
      </c>
      <c r="B2" s="14" t="s">
        <v>516</v>
      </c>
      <c r="C2" s="14">
        <v>7960</v>
      </c>
      <c r="D2" s="14" t="s">
        <v>689</v>
      </c>
      <c r="E2" s="14" t="s">
        <v>1200</v>
      </c>
      <c r="F2" s="27" t="str">
        <f>VLOOKUP(B2,Sheet5!A2:J325,2,0)</f>
        <v>笔记本电脑</v>
      </c>
      <c r="G2" s="27" t="str">
        <f>VLOOKUP(B2,Sheet5!A2:J325,3,0)</f>
        <v>ThinkPad</v>
      </c>
      <c r="H2" s="27" t="str">
        <f>VLOOKUP(B2,Sheet5!A2:J325,4,0)</f>
        <v>T420</v>
      </c>
      <c r="I2" s="27" t="str">
        <f>VLOOKUP(B2,Sheet5!A2:J325,5,0)</f>
        <v>103.00</v>
      </c>
      <c r="J2" s="27" t="str">
        <f>VLOOKUP(B2,Sheet5!A2:J325,6,0)</f>
        <v>2018/07/20</v>
      </c>
      <c r="K2" s="27" t="str">
        <f>VLOOKUP(B2,Sheet5!A2:J325,7,0)</f>
        <v>易点租</v>
      </c>
      <c r="L2" s="27" t="str">
        <f>VLOOKUP(B2,Sheet5!A2:J325,8,0)</f>
        <v>i5</v>
      </c>
      <c r="M2" s="27" t="str">
        <f>VLOOKUP(B2,Sheet5!A2:J325,9,0)</f>
        <v>8G</v>
      </c>
      <c r="N2" s="27" t="str">
        <f>VLOOKUP(B2,Sheet5!A2:J325,10,0)</f>
        <v>500G</v>
      </c>
    </row>
    <row r="3" spans="1:14" x14ac:dyDescent="0.2">
      <c r="A3" s="14" t="s">
        <v>0</v>
      </c>
      <c r="B3" s="14" t="s">
        <v>517</v>
      </c>
      <c r="C3" s="14">
        <v>11031</v>
      </c>
      <c r="D3" s="14" t="s">
        <v>689</v>
      </c>
      <c r="E3" s="14" t="s">
        <v>1200</v>
      </c>
      <c r="F3" s="27" t="str">
        <f>VLOOKUP(B3,Sheet5!A3:J326,2,0)</f>
        <v>笔记本电脑</v>
      </c>
      <c r="G3" s="27" t="str">
        <f>VLOOKUP(B3,Sheet5!A3:J326,3,0)</f>
        <v>ThinkPad</v>
      </c>
      <c r="H3" s="27" t="str">
        <f>VLOOKUP(B3,Sheet5!A3:J326,4,0)</f>
        <v>X201</v>
      </c>
      <c r="I3" s="27" t="str">
        <f>VLOOKUP(B3,Sheet5!A3:J326,5,0)</f>
        <v>70.00</v>
      </c>
      <c r="J3" s="27" t="str">
        <f>VLOOKUP(B3,Sheet5!A3:J326,6,0)</f>
        <v>2018/05/03</v>
      </c>
      <c r="K3" s="27" t="str">
        <f>VLOOKUP(B3,Sheet5!A3:J326,7,0)</f>
        <v>易点租</v>
      </c>
      <c r="L3" s="27" t="str">
        <f>VLOOKUP(B3,Sheet5!A3:J326,8,0)</f>
        <v>i5</v>
      </c>
      <c r="M3" s="27" t="str">
        <f>VLOOKUP(B3,Sheet5!A3:J326,9,0)</f>
        <v>4G</v>
      </c>
      <c r="N3" s="27" t="str">
        <f>VLOOKUP(B3,Sheet5!A3:J326,10,0)</f>
        <v>120G SSD</v>
      </c>
    </row>
    <row r="4" spans="1:14" x14ac:dyDescent="0.2">
      <c r="A4" s="14" t="s">
        <v>1</v>
      </c>
      <c r="B4" s="14" t="s">
        <v>518</v>
      </c>
      <c r="C4" s="14">
        <v>3820</v>
      </c>
      <c r="D4" s="14" t="s">
        <v>689</v>
      </c>
      <c r="E4" s="14" t="s">
        <v>1200</v>
      </c>
      <c r="F4" s="27" t="str">
        <f>VLOOKUP(B4,Sheet5!A4:J327,2,0)</f>
        <v>笔记本电脑</v>
      </c>
      <c r="G4" s="27" t="str">
        <f>VLOOKUP(B4,Sheet5!A4:J327,3,0)</f>
        <v>ThinkPad</v>
      </c>
      <c r="H4" s="27" t="str">
        <f>VLOOKUP(B4,Sheet5!A4:J327,4,0)</f>
        <v>X201</v>
      </c>
      <c r="I4" s="27" t="str">
        <f>VLOOKUP(B4,Sheet5!A4:J327,5,0)</f>
        <v>90.00</v>
      </c>
      <c r="J4" s="27" t="str">
        <f>VLOOKUP(B4,Sheet5!A4:J327,6,0)</f>
        <v>2018/07/20</v>
      </c>
      <c r="K4" s="27" t="str">
        <f>VLOOKUP(B4,Sheet5!A4:J327,7,0)</f>
        <v>易点租</v>
      </c>
      <c r="L4" s="27" t="str">
        <f>VLOOKUP(B4,Sheet5!A4:J327,8,0)</f>
        <v>i5</v>
      </c>
      <c r="M4" s="27" t="str">
        <f>VLOOKUP(B4,Sheet5!A4:J327,9,0)</f>
        <v>8G</v>
      </c>
      <c r="N4" s="27" t="str">
        <f>VLOOKUP(B4,Sheet5!A4:J327,10,0)</f>
        <v>320G</v>
      </c>
    </row>
    <row r="5" spans="1:14" x14ac:dyDescent="0.2">
      <c r="A5" s="21" t="s">
        <v>2</v>
      </c>
      <c r="B5" s="21" t="s">
        <v>519</v>
      </c>
      <c r="C5" s="21">
        <v>14709</v>
      </c>
      <c r="D5" s="21" t="s">
        <v>689</v>
      </c>
      <c r="E5" s="21" t="s">
        <v>1200</v>
      </c>
      <c r="F5" s="27" t="e">
        <f>VLOOKUP(B5,Sheet5!A5:J328,2,0)</f>
        <v>#N/A</v>
      </c>
      <c r="G5" s="27" t="e">
        <f>VLOOKUP(B5,Sheet5!A5:J328,3,0)</f>
        <v>#N/A</v>
      </c>
      <c r="H5" s="27" t="e">
        <f>VLOOKUP(B5,Sheet5!A5:J328,4,0)</f>
        <v>#N/A</v>
      </c>
      <c r="I5" s="27" t="e">
        <f>VLOOKUP(B5,Sheet5!A5:J328,5,0)</f>
        <v>#N/A</v>
      </c>
      <c r="J5" s="27" t="e">
        <f>VLOOKUP(B5,Sheet5!A5:J328,6,0)</f>
        <v>#N/A</v>
      </c>
      <c r="K5" s="27" t="e">
        <f>VLOOKUP(B5,Sheet5!A5:J328,7,0)</f>
        <v>#N/A</v>
      </c>
      <c r="L5" s="27" t="e">
        <f>VLOOKUP(B5,Sheet5!A5:J328,8,0)</f>
        <v>#N/A</v>
      </c>
      <c r="M5" s="27" t="e">
        <f>VLOOKUP(B5,Sheet5!A5:J328,9,0)</f>
        <v>#N/A</v>
      </c>
      <c r="N5" s="27" t="e">
        <f>VLOOKUP(B5,Sheet5!A5:J328,10,0)</f>
        <v>#N/A</v>
      </c>
    </row>
    <row r="6" spans="1:14" x14ac:dyDescent="0.2">
      <c r="A6" s="14" t="s">
        <v>3</v>
      </c>
      <c r="B6" s="14" t="s">
        <v>520</v>
      </c>
      <c r="C6" s="14">
        <v>4129</v>
      </c>
      <c r="D6" s="14" t="s">
        <v>689</v>
      </c>
      <c r="E6" s="14" t="s">
        <v>1200</v>
      </c>
      <c r="F6" s="27" t="str">
        <f>VLOOKUP(B6,Sheet5!A6:J329,2,0)</f>
        <v>笔记本电脑</v>
      </c>
      <c r="G6" s="27" t="str">
        <f>VLOOKUP(B6,Sheet5!A6:J329,3,0)</f>
        <v>ThinkPad</v>
      </c>
      <c r="H6" s="27" t="str">
        <f>VLOOKUP(B6,Sheet5!A6:J329,4,0)</f>
        <v>X201</v>
      </c>
      <c r="I6" s="27" t="str">
        <f>VLOOKUP(B6,Sheet5!A6:J329,5,0)</f>
        <v>90.00</v>
      </c>
      <c r="J6" s="27" t="str">
        <f>VLOOKUP(B6,Sheet5!A6:J329,6,0)</f>
        <v>2018/07/20</v>
      </c>
      <c r="K6" s="27" t="str">
        <f>VLOOKUP(B6,Sheet5!A6:J329,7,0)</f>
        <v>易点租</v>
      </c>
      <c r="L6" s="27" t="str">
        <f>VLOOKUP(B6,Sheet5!A6:J329,8,0)</f>
        <v>i5</v>
      </c>
      <c r="M6" s="27" t="str">
        <f>VLOOKUP(B6,Sheet5!A6:J329,9,0)</f>
        <v>8G</v>
      </c>
      <c r="N6" s="27" t="str">
        <f>VLOOKUP(B6,Sheet5!A6:J329,10,0)</f>
        <v>320G</v>
      </c>
    </row>
    <row r="7" spans="1:14" x14ac:dyDescent="0.2">
      <c r="A7" s="14" t="s">
        <v>4</v>
      </c>
      <c r="B7" s="14" t="s">
        <v>521</v>
      </c>
      <c r="C7" s="14">
        <v>3818</v>
      </c>
      <c r="D7" s="14" t="s">
        <v>689</v>
      </c>
      <c r="E7" s="14" t="s">
        <v>1200</v>
      </c>
      <c r="F7" s="27" t="str">
        <f>VLOOKUP(B7,Sheet5!A7:J330,2,0)</f>
        <v>笔记本电脑</v>
      </c>
      <c r="G7" s="27" t="str">
        <f>VLOOKUP(B7,Sheet5!A7:J330,3,0)</f>
        <v>ThinkPad</v>
      </c>
      <c r="H7" s="27" t="str">
        <f>VLOOKUP(B7,Sheet5!A7:J330,4,0)</f>
        <v>X220</v>
      </c>
      <c r="I7" s="27" t="str">
        <f>VLOOKUP(B7,Sheet5!A7:J330,5,0)</f>
        <v>110.00</v>
      </c>
      <c r="J7" s="27" t="str">
        <f>VLOOKUP(B7,Sheet5!A7:J330,6,0)</f>
        <v>2018/03/07</v>
      </c>
      <c r="K7" s="27" t="str">
        <f>VLOOKUP(B7,Sheet5!A7:J330,7,0)</f>
        <v>易点租</v>
      </c>
      <c r="L7" s="27" t="str">
        <f>VLOOKUP(B7,Sheet5!A7:J330,8,0)</f>
        <v>i5</v>
      </c>
      <c r="M7" s="27" t="str">
        <f>VLOOKUP(B7,Sheet5!A7:J330,9,0)</f>
        <v>8G</v>
      </c>
      <c r="N7" s="27" t="str">
        <f>VLOOKUP(B7,Sheet5!A7:J330,10,0)</f>
        <v>500G</v>
      </c>
    </row>
    <row r="8" spans="1:14" x14ac:dyDescent="0.2">
      <c r="A8" s="14" t="s">
        <v>5</v>
      </c>
      <c r="B8" s="14" t="s">
        <v>522</v>
      </c>
      <c r="C8" s="14">
        <v>14035</v>
      </c>
      <c r="D8" s="14" t="s">
        <v>689</v>
      </c>
      <c r="E8" s="14" t="s">
        <v>1200</v>
      </c>
      <c r="F8" s="27" t="str">
        <f>VLOOKUP(B8,Sheet5!A8:J331,2,0)</f>
        <v>笔记本电脑</v>
      </c>
      <c r="G8" s="27" t="str">
        <f>VLOOKUP(B8,Sheet5!A8:J331,3,0)</f>
        <v>ThinkPad</v>
      </c>
      <c r="H8" s="27" t="str">
        <f>VLOOKUP(B8,Sheet5!A8:J331,4,0)</f>
        <v>X230</v>
      </c>
      <c r="I8" s="27" t="str">
        <f>VLOOKUP(B8,Sheet5!A8:J331,5,0)</f>
        <v>115.00</v>
      </c>
      <c r="J8" s="27" t="str">
        <f>VLOOKUP(B8,Sheet5!A8:J331,6,0)</f>
        <v>2017/09/01</v>
      </c>
      <c r="K8" s="27" t="str">
        <f>VLOOKUP(B8,Sheet5!A8:J331,7,0)</f>
        <v>易点租</v>
      </c>
      <c r="L8" s="27" t="str">
        <f>VLOOKUP(B8,Sheet5!A8:J331,8,0)</f>
        <v>i5</v>
      </c>
      <c r="M8" s="27" t="str">
        <f>VLOOKUP(B8,Sheet5!A8:J331,9,0)</f>
        <v>8G</v>
      </c>
      <c r="N8" s="27" t="str">
        <f>VLOOKUP(B8,Sheet5!A8:J331,10,0)</f>
        <v>500G</v>
      </c>
    </row>
    <row r="9" spans="1:14" x14ac:dyDescent="0.2">
      <c r="A9" s="14" t="s">
        <v>6</v>
      </c>
      <c r="B9" s="14" t="s">
        <v>1249</v>
      </c>
      <c r="C9" s="14">
        <v>3840</v>
      </c>
      <c r="D9" s="14" t="s">
        <v>689</v>
      </c>
      <c r="E9" s="14" t="s">
        <v>1200</v>
      </c>
      <c r="F9" s="27" t="str">
        <f>VLOOKUP(B9,Sheet5!A9:J332,2,0)</f>
        <v>笔记本电脑</v>
      </c>
      <c r="G9" s="27" t="str">
        <f>VLOOKUP(B9,Sheet5!A9:J332,3,0)</f>
        <v>ThinkPad</v>
      </c>
      <c r="H9" s="27" t="str">
        <f>VLOOKUP(B9,Sheet5!A9:J332,4,0)</f>
        <v>X220</v>
      </c>
      <c r="I9" s="27" t="str">
        <f>VLOOKUP(B9,Sheet5!A9:J332,5,0)</f>
        <v>85.00</v>
      </c>
      <c r="J9" s="27" t="str">
        <f>VLOOKUP(B9,Sheet5!A9:J332,6,0)</f>
        <v>2017/10/25</v>
      </c>
      <c r="K9" s="27" t="str">
        <f>VLOOKUP(B9,Sheet5!A9:J332,7,0)</f>
        <v>易点租</v>
      </c>
      <c r="L9" s="27" t="str">
        <f>VLOOKUP(B9,Sheet5!A9:J332,8,0)</f>
        <v>i5</v>
      </c>
      <c r="M9" s="27" t="str">
        <f>VLOOKUP(B9,Sheet5!A9:J332,9,0)</f>
        <v>4G</v>
      </c>
      <c r="N9" s="27" t="str">
        <f>VLOOKUP(B9,Sheet5!A9:J332,10,0)</f>
        <v>320G</v>
      </c>
    </row>
    <row r="10" spans="1:14" x14ac:dyDescent="0.2">
      <c r="A10" s="14" t="s">
        <v>7</v>
      </c>
      <c r="B10" s="14" t="s">
        <v>8</v>
      </c>
      <c r="C10" s="14">
        <v>2989</v>
      </c>
      <c r="D10" s="14" t="s">
        <v>689</v>
      </c>
      <c r="E10" s="14" t="s">
        <v>1200</v>
      </c>
      <c r="F10" s="27" t="str">
        <f>VLOOKUP(B10,Sheet5!A10:J333,2,0)</f>
        <v>笔记本电脑</v>
      </c>
      <c r="G10" s="27" t="str">
        <f>VLOOKUP(B10,Sheet5!A10:J333,3,0)</f>
        <v>ThinkPad</v>
      </c>
      <c r="H10" s="27" t="str">
        <f>VLOOKUP(B10,Sheet5!A10:J333,4,0)</f>
        <v>X220</v>
      </c>
      <c r="I10" s="27" t="str">
        <f>VLOOKUP(B10,Sheet5!A10:J333,5,0)</f>
        <v>85.00</v>
      </c>
      <c r="J10" s="27" t="str">
        <f>VLOOKUP(B10,Sheet5!A10:J333,6,0)</f>
        <v>2017/10/25</v>
      </c>
      <c r="K10" s="27" t="str">
        <f>VLOOKUP(B10,Sheet5!A10:J333,7,0)</f>
        <v>易点租</v>
      </c>
      <c r="L10" s="27" t="str">
        <f>VLOOKUP(B10,Sheet5!A10:J333,8,0)</f>
        <v>i5</v>
      </c>
      <c r="M10" s="27" t="str">
        <f>VLOOKUP(B10,Sheet5!A10:J333,9,0)</f>
        <v>4G</v>
      </c>
      <c r="N10" s="27" t="str">
        <f>VLOOKUP(B10,Sheet5!A10:J333,10,0)</f>
        <v>320G</v>
      </c>
    </row>
    <row r="11" spans="1:14" x14ac:dyDescent="0.2">
      <c r="A11" s="14" t="s">
        <v>9</v>
      </c>
      <c r="B11" s="14" t="s">
        <v>10</v>
      </c>
      <c r="C11" s="14">
        <v>8557</v>
      </c>
      <c r="D11" s="14" t="s">
        <v>689</v>
      </c>
      <c r="E11" s="14" t="s">
        <v>1200</v>
      </c>
      <c r="F11" s="27" t="str">
        <f>VLOOKUP(B11,Sheet5!A11:J334,2,0)</f>
        <v>笔记本电脑</v>
      </c>
      <c r="G11" s="27" t="str">
        <f>VLOOKUP(B11,Sheet5!A11:J334,3,0)</f>
        <v>ThinkPad</v>
      </c>
      <c r="H11" s="27" t="str">
        <f>VLOOKUP(B11,Sheet5!A11:J334,4,0)</f>
        <v>X220</v>
      </c>
      <c r="I11" s="27" t="str">
        <f>VLOOKUP(B11,Sheet5!A11:J334,5,0)</f>
        <v>85.00</v>
      </c>
      <c r="J11" s="27" t="str">
        <f>VLOOKUP(B11,Sheet5!A11:J334,6,0)</f>
        <v>2017/10/25</v>
      </c>
      <c r="K11" s="27" t="str">
        <f>VLOOKUP(B11,Sheet5!A11:J334,7,0)</f>
        <v>易点租</v>
      </c>
      <c r="L11" s="27" t="str">
        <f>VLOOKUP(B11,Sheet5!A11:J334,8,0)</f>
        <v>i5</v>
      </c>
      <c r="M11" s="27" t="str">
        <f>VLOOKUP(B11,Sheet5!A11:J334,9,0)</f>
        <v>4G</v>
      </c>
      <c r="N11" s="27" t="str">
        <f>VLOOKUP(B11,Sheet5!A11:J334,10,0)</f>
        <v>320G</v>
      </c>
    </row>
    <row r="12" spans="1:14" x14ac:dyDescent="0.2">
      <c r="A12" s="14" t="s">
        <v>11</v>
      </c>
      <c r="B12" s="14" t="s">
        <v>12</v>
      </c>
      <c r="C12" s="14">
        <v>3824</v>
      </c>
      <c r="D12" s="14" t="s">
        <v>689</v>
      </c>
      <c r="E12" s="14" t="s">
        <v>1200</v>
      </c>
      <c r="F12" s="27" t="str">
        <f>VLOOKUP(B12,Sheet5!A12:J335,2,0)</f>
        <v>笔记本电脑</v>
      </c>
      <c r="G12" s="27" t="str">
        <f>VLOOKUP(B12,Sheet5!A12:J335,3,0)</f>
        <v>ThinkPad</v>
      </c>
      <c r="H12" s="27" t="str">
        <f>VLOOKUP(B12,Sheet5!A12:J335,4,0)</f>
        <v>X220</v>
      </c>
      <c r="I12" s="27" t="str">
        <f>VLOOKUP(B12,Sheet5!A12:J335,5,0)</f>
        <v>85.00</v>
      </c>
      <c r="J12" s="27" t="str">
        <f>VLOOKUP(B12,Sheet5!A12:J335,6,0)</f>
        <v>2017/10/25</v>
      </c>
      <c r="K12" s="27" t="str">
        <f>VLOOKUP(B12,Sheet5!A12:J335,7,0)</f>
        <v>易点租</v>
      </c>
      <c r="L12" s="27" t="str">
        <f>VLOOKUP(B12,Sheet5!A12:J335,8,0)</f>
        <v>i5</v>
      </c>
      <c r="M12" s="27" t="str">
        <f>VLOOKUP(B12,Sheet5!A12:J335,9,0)</f>
        <v>4G</v>
      </c>
      <c r="N12" s="27" t="str">
        <f>VLOOKUP(B12,Sheet5!A12:J335,10,0)</f>
        <v>320G</v>
      </c>
    </row>
    <row r="13" spans="1:14" x14ac:dyDescent="0.2">
      <c r="A13" s="14" t="s">
        <v>13</v>
      </c>
      <c r="B13" s="14" t="s">
        <v>523</v>
      </c>
      <c r="C13" s="14">
        <v>8296</v>
      </c>
      <c r="D13" s="14" t="s">
        <v>689</v>
      </c>
      <c r="E13" s="14" t="s">
        <v>1200</v>
      </c>
      <c r="F13" s="27" t="str">
        <f>VLOOKUP(B13,Sheet5!A13:J336,2,0)</f>
        <v>笔记本电脑</v>
      </c>
      <c r="G13" s="27" t="str">
        <f>VLOOKUP(B13,Sheet5!A13:J336,3,0)</f>
        <v>ThinkPad</v>
      </c>
      <c r="H13" s="27" t="str">
        <f>VLOOKUP(B13,Sheet5!A13:J336,4,0)</f>
        <v>T430</v>
      </c>
      <c r="I13" s="27" t="str">
        <f>VLOOKUP(B13,Sheet5!A13:J336,5,0)</f>
        <v>115.00</v>
      </c>
      <c r="J13" s="27" t="str">
        <f>VLOOKUP(B13,Sheet5!A13:J336,6,0)</f>
        <v>2017/12/19</v>
      </c>
      <c r="K13" s="27" t="str">
        <f>VLOOKUP(B13,Sheet5!A13:J336,7,0)</f>
        <v>易点租</v>
      </c>
      <c r="L13" s="27" t="str">
        <f>VLOOKUP(B13,Sheet5!A13:J336,8,0)</f>
        <v>i5</v>
      </c>
      <c r="M13" s="27" t="str">
        <f>VLOOKUP(B13,Sheet5!A13:J336,9,0)</f>
        <v>8G</v>
      </c>
      <c r="N13" s="27" t="str">
        <f>VLOOKUP(B13,Sheet5!A13:J336,10,0)</f>
        <v>500G</v>
      </c>
    </row>
    <row r="14" spans="1:14" x14ac:dyDescent="0.2">
      <c r="A14" s="14" t="s">
        <v>14</v>
      </c>
      <c r="B14" s="14" t="s">
        <v>524</v>
      </c>
      <c r="C14" s="14">
        <v>4203</v>
      </c>
      <c r="D14" s="14" t="s">
        <v>689</v>
      </c>
      <c r="E14" s="14" t="s">
        <v>1200</v>
      </c>
      <c r="F14" s="27" t="e">
        <f>VLOOKUP(B14,Sheet5!A14:J337,2,0)</f>
        <v>#N/A</v>
      </c>
      <c r="G14" s="27" t="e">
        <f>VLOOKUP(B14,Sheet5!A14:J337,3,0)</f>
        <v>#N/A</v>
      </c>
      <c r="H14" s="27" t="e">
        <f>VLOOKUP(B14,Sheet5!A14:J337,4,0)</f>
        <v>#N/A</v>
      </c>
      <c r="I14" s="27" t="e">
        <f>VLOOKUP(B14,Sheet5!A14:J337,5,0)</f>
        <v>#N/A</v>
      </c>
      <c r="J14" s="27" t="e">
        <f>VLOOKUP(B14,Sheet5!A14:J337,6,0)</f>
        <v>#N/A</v>
      </c>
      <c r="K14" s="27" t="e">
        <f>VLOOKUP(B14,Sheet5!A14:J337,7,0)</f>
        <v>#N/A</v>
      </c>
      <c r="L14" s="27" t="e">
        <f>VLOOKUP(B14,Sheet5!A14:J337,8,0)</f>
        <v>#N/A</v>
      </c>
      <c r="M14" s="27" t="e">
        <f>VLOOKUP(B14,Sheet5!A14:J337,9,0)</f>
        <v>#N/A</v>
      </c>
      <c r="N14" s="27" t="e">
        <f>VLOOKUP(B14,Sheet5!A14:J337,10,0)</f>
        <v>#N/A</v>
      </c>
    </row>
    <row r="15" spans="1:14" x14ac:dyDescent="0.2">
      <c r="A15" s="14" t="s">
        <v>15</v>
      </c>
      <c r="B15" s="14" t="s">
        <v>16</v>
      </c>
      <c r="C15" s="14">
        <v>2749</v>
      </c>
      <c r="D15" s="14" t="s">
        <v>689</v>
      </c>
      <c r="E15" s="14" t="s">
        <v>1200</v>
      </c>
      <c r="F15" s="27" t="str">
        <f>VLOOKUP(B15,Sheet5!A15:J338,2,0)</f>
        <v>笔记本电脑</v>
      </c>
      <c r="G15" s="27" t="str">
        <f>VLOOKUP(B15,Sheet5!A15:J338,3,0)</f>
        <v>ThinkPad</v>
      </c>
      <c r="H15" s="27" t="str">
        <f>VLOOKUP(B15,Sheet5!A15:J338,4,0)</f>
        <v>X220</v>
      </c>
      <c r="I15" s="27" t="str">
        <f>VLOOKUP(B15,Sheet5!A15:J338,5,0)</f>
        <v>92.00</v>
      </c>
      <c r="J15" s="27" t="str">
        <f>VLOOKUP(B15,Sheet5!A15:J338,6,0)</f>
        <v>2017/04/04</v>
      </c>
      <c r="K15" s="27" t="str">
        <f>VLOOKUP(B15,Sheet5!A15:J338,7,0)</f>
        <v>易点租</v>
      </c>
      <c r="L15" s="27" t="str">
        <f>VLOOKUP(B15,Sheet5!A15:J338,8,0)</f>
        <v>i5</v>
      </c>
      <c r="M15" s="27" t="str">
        <f>VLOOKUP(B15,Sheet5!A15:J338,9,0)</f>
        <v>8G</v>
      </c>
      <c r="N15" s="27" t="str">
        <f>VLOOKUP(B15,Sheet5!A15:J338,10,0)</f>
        <v>500G</v>
      </c>
    </row>
    <row r="16" spans="1:14" x14ac:dyDescent="0.2">
      <c r="A16" s="14" t="s">
        <v>1194</v>
      </c>
      <c r="B16" s="14" t="s">
        <v>17</v>
      </c>
      <c r="C16" s="14">
        <v>6269</v>
      </c>
      <c r="D16" s="14" t="s">
        <v>689</v>
      </c>
      <c r="E16" s="14" t="s">
        <v>1200</v>
      </c>
      <c r="F16" s="27" t="str">
        <f>VLOOKUP(B16,Sheet5!A16:J339,2,0)</f>
        <v>台式机</v>
      </c>
      <c r="G16" s="27" t="str">
        <f>VLOOKUP(B16,Sheet5!A16:J339,3,0)</f>
        <v>戴尔/DELL</v>
      </c>
      <c r="H16" s="27" t="str">
        <f>VLOOKUP(B16,Sheet5!A16:J339,4,0)</f>
        <v>3046SFF</v>
      </c>
      <c r="I16" s="27" t="str">
        <f>VLOOKUP(B16,Sheet5!A16:J339,5,0)</f>
        <v>258.00</v>
      </c>
      <c r="J16" s="27" t="str">
        <f>VLOOKUP(B16,Sheet5!A16:J339,6,0)</f>
        <v>2017/10/25</v>
      </c>
      <c r="K16" s="27" t="str">
        <f>VLOOKUP(B16,Sheet5!A16:J339,7,0)</f>
        <v>易点租</v>
      </c>
      <c r="L16" s="27" t="str">
        <f>VLOOKUP(B16,Sheet5!A16:J339,8,0)</f>
        <v>i5</v>
      </c>
      <c r="M16" s="27" t="str">
        <f>VLOOKUP(B16,Sheet5!A16:J339,9,0)</f>
        <v>8G</v>
      </c>
      <c r="N16" s="27" t="str">
        <f>VLOOKUP(B16,Sheet5!A16:J339,10,0)</f>
        <v>1000G</v>
      </c>
    </row>
    <row r="17" spans="1:14" x14ac:dyDescent="0.2">
      <c r="A17" s="14" t="s">
        <v>1194</v>
      </c>
      <c r="B17" s="14" t="s">
        <v>18</v>
      </c>
      <c r="C17" s="14">
        <v>6269</v>
      </c>
      <c r="D17" s="14" t="s">
        <v>689</v>
      </c>
      <c r="E17" s="14" t="s">
        <v>1200</v>
      </c>
      <c r="F17" s="27" t="str">
        <f>VLOOKUP(B17,Sheet5!A17:J340,2,0)</f>
        <v>台式机</v>
      </c>
      <c r="G17" s="27" t="str">
        <f>VLOOKUP(B17,Sheet5!A17:J340,3,0)</f>
        <v>戴尔/DELL</v>
      </c>
      <c r="H17" s="27" t="str">
        <f>VLOOKUP(B17,Sheet5!A17:J340,4,0)</f>
        <v>3046SFF</v>
      </c>
      <c r="I17" s="27" t="str">
        <f>VLOOKUP(B17,Sheet5!A17:J340,5,0)</f>
        <v>116.00</v>
      </c>
      <c r="J17" s="27" t="str">
        <f>VLOOKUP(B17,Sheet5!A17:J340,6,0)</f>
        <v>2017/11/20</v>
      </c>
      <c r="K17" s="27" t="str">
        <f>VLOOKUP(B17,Sheet5!A17:J340,7,0)</f>
        <v>易点租</v>
      </c>
      <c r="L17" s="27" t="str">
        <f>VLOOKUP(B17,Sheet5!A17:J340,8,0)</f>
        <v>G4400</v>
      </c>
      <c r="M17" s="27" t="str">
        <f>VLOOKUP(B17,Sheet5!A17:J340,9,0)</f>
        <v>4G</v>
      </c>
      <c r="N17" s="27" t="str">
        <f>VLOOKUP(B17,Sheet5!A17:J340,10,0)</f>
        <v>500G</v>
      </c>
    </row>
    <row r="18" spans="1:14" x14ac:dyDescent="0.2">
      <c r="A18" s="14" t="s">
        <v>1194</v>
      </c>
      <c r="B18" s="14" t="s">
        <v>19</v>
      </c>
      <c r="C18" s="14">
        <v>6269</v>
      </c>
      <c r="D18" s="14" t="s">
        <v>689</v>
      </c>
      <c r="E18" s="14" t="s">
        <v>1200</v>
      </c>
      <c r="F18" s="27" t="str">
        <f>VLOOKUP(B18,Sheet5!A18:J341,2,0)</f>
        <v>台式机</v>
      </c>
      <c r="G18" s="27" t="str">
        <f>VLOOKUP(B18,Sheet5!A18:J341,3,0)</f>
        <v>易点租</v>
      </c>
      <c r="H18" s="27" t="str">
        <f>VLOOKUP(B18,Sheet5!A18:J341,4,0)</f>
        <v>EPEZE11</v>
      </c>
      <c r="I18" s="27" t="str">
        <f>VLOOKUP(B18,Sheet5!A18:J341,5,0)</f>
        <v>85.00</v>
      </c>
      <c r="J18" s="27" t="str">
        <f>VLOOKUP(B18,Sheet5!A18:J341,6,0)</f>
        <v>2017/08/05</v>
      </c>
      <c r="K18" s="27" t="str">
        <f>VLOOKUP(B18,Sheet5!A18:J341,7,0)</f>
        <v>易点租</v>
      </c>
      <c r="L18" s="27" t="str">
        <f>VLOOKUP(B18,Sheet5!A18:J341,8,0)</f>
        <v>G4400</v>
      </c>
      <c r="M18" s="27" t="str">
        <f>VLOOKUP(B18,Sheet5!A18:J341,9,0)</f>
        <v>4G</v>
      </c>
      <c r="N18" s="27" t="str">
        <f>VLOOKUP(B18,Sheet5!A18:J341,10,0)</f>
        <v>500G</v>
      </c>
    </row>
    <row r="19" spans="1:14" x14ac:dyDescent="0.2">
      <c r="A19" s="14" t="s">
        <v>1194</v>
      </c>
      <c r="B19" s="14" t="s">
        <v>20</v>
      </c>
      <c r="C19" s="14">
        <v>6269</v>
      </c>
      <c r="D19" s="14" t="s">
        <v>689</v>
      </c>
      <c r="E19" s="14" t="s">
        <v>1200</v>
      </c>
      <c r="F19" s="27" t="e">
        <f>VLOOKUP(B19,Sheet5!A19:J342,2,0)</f>
        <v>#N/A</v>
      </c>
      <c r="G19" s="27" t="e">
        <f>VLOOKUP(B19,Sheet5!A19:J342,3,0)</f>
        <v>#N/A</v>
      </c>
      <c r="H19" s="27" t="e">
        <f>VLOOKUP(B19,Sheet5!A19:J342,4,0)</f>
        <v>#N/A</v>
      </c>
      <c r="I19" s="27" t="e">
        <f>VLOOKUP(B19,Sheet5!A19:J342,5,0)</f>
        <v>#N/A</v>
      </c>
      <c r="J19" s="27" t="e">
        <f>VLOOKUP(B19,Sheet5!A19:J342,6,0)</f>
        <v>#N/A</v>
      </c>
      <c r="K19" s="27" t="e">
        <f>VLOOKUP(B19,Sheet5!A19:J342,7,0)</f>
        <v>#N/A</v>
      </c>
      <c r="L19" s="27" t="e">
        <f>VLOOKUP(B19,Sheet5!A19:J342,8,0)</f>
        <v>#N/A</v>
      </c>
      <c r="M19" s="27" t="e">
        <f>VLOOKUP(B19,Sheet5!A19:J342,9,0)</f>
        <v>#N/A</v>
      </c>
      <c r="N19" s="27" t="e">
        <f>VLOOKUP(B19,Sheet5!A19:J342,10,0)</f>
        <v>#N/A</v>
      </c>
    </row>
    <row r="20" spans="1:14" x14ac:dyDescent="0.2">
      <c r="A20" s="14" t="s">
        <v>1194</v>
      </c>
      <c r="B20" s="14" t="s">
        <v>21</v>
      </c>
      <c r="C20" s="14">
        <v>6269</v>
      </c>
      <c r="D20" s="14" t="s">
        <v>689</v>
      </c>
      <c r="E20" s="14" t="s">
        <v>1200</v>
      </c>
      <c r="F20" s="27" t="str">
        <f>VLOOKUP(B20,Sheet5!A20:J343,2,0)</f>
        <v>台式机</v>
      </c>
      <c r="G20" s="27" t="str">
        <f>VLOOKUP(B20,Sheet5!A20:J343,3,0)</f>
        <v>易点租</v>
      </c>
      <c r="H20" s="27" t="str">
        <f>VLOOKUP(B20,Sheet5!A20:J343,4,0)</f>
        <v>EPEZE11</v>
      </c>
      <c r="I20" s="27" t="str">
        <f>VLOOKUP(B20,Sheet5!A20:J343,5,0)</f>
        <v>85.00</v>
      </c>
      <c r="J20" s="27" t="str">
        <f>VLOOKUP(B20,Sheet5!A20:J343,6,0)</f>
        <v>2017/08/05</v>
      </c>
      <c r="K20" s="27" t="str">
        <f>VLOOKUP(B20,Sheet5!A20:J343,7,0)</f>
        <v>易点租</v>
      </c>
      <c r="L20" s="27" t="str">
        <f>VLOOKUP(B20,Sheet5!A20:J343,8,0)</f>
        <v>G4400</v>
      </c>
      <c r="M20" s="27" t="str">
        <f>VLOOKUP(B20,Sheet5!A20:J343,9,0)</f>
        <v>4G</v>
      </c>
      <c r="N20" s="27" t="str">
        <f>VLOOKUP(B20,Sheet5!A20:J343,10,0)</f>
        <v>500G</v>
      </c>
    </row>
    <row r="21" spans="1:14" x14ac:dyDescent="0.2">
      <c r="A21" s="14" t="s">
        <v>1194</v>
      </c>
      <c r="B21" s="14" t="s">
        <v>22</v>
      </c>
      <c r="C21" s="14">
        <v>6269</v>
      </c>
      <c r="D21" s="14" t="s">
        <v>689</v>
      </c>
      <c r="E21" s="14" t="s">
        <v>1200</v>
      </c>
      <c r="F21" s="27" t="str">
        <f>VLOOKUP(B21,Sheet5!A21:J344,2,0)</f>
        <v>台式机</v>
      </c>
      <c r="G21" s="27" t="str">
        <f>VLOOKUP(B21,Sheet5!A21:J344,3,0)</f>
        <v>易点租</v>
      </c>
      <c r="H21" s="27" t="str">
        <f>VLOOKUP(B21,Sheet5!A21:J344,4,0)</f>
        <v>EPEZE11</v>
      </c>
      <c r="I21" s="27" t="str">
        <f>VLOOKUP(B21,Sheet5!A21:J344,5,0)</f>
        <v>85.00</v>
      </c>
      <c r="J21" s="27" t="str">
        <f>VLOOKUP(B21,Sheet5!A21:J344,6,0)</f>
        <v>2017/08/05</v>
      </c>
      <c r="K21" s="27" t="str">
        <f>VLOOKUP(B21,Sheet5!A21:J344,7,0)</f>
        <v>易点租</v>
      </c>
      <c r="L21" s="27" t="str">
        <f>VLOOKUP(B21,Sheet5!A21:J344,8,0)</f>
        <v>G4400</v>
      </c>
      <c r="M21" s="27" t="str">
        <f>VLOOKUP(B21,Sheet5!A21:J344,9,0)</f>
        <v>4G</v>
      </c>
      <c r="N21" s="27" t="str">
        <f>VLOOKUP(B21,Sheet5!A21:J344,10,0)</f>
        <v>500G</v>
      </c>
    </row>
    <row r="22" spans="1:14" x14ac:dyDescent="0.2">
      <c r="A22" s="14" t="s">
        <v>1194</v>
      </c>
      <c r="B22" s="14" t="s">
        <v>23</v>
      </c>
      <c r="C22" s="14">
        <v>6269</v>
      </c>
      <c r="D22" s="14" t="s">
        <v>689</v>
      </c>
      <c r="E22" s="14" t="s">
        <v>1200</v>
      </c>
      <c r="F22" s="27" t="str">
        <f>VLOOKUP(B22,Sheet5!A22:J345,2,0)</f>
        <v>台式机</v>
      </c>
      <c r="G22" s="27" t="str">
        <f>VLOOKUP(B22,Sheet5!A22:J345,3,0)</f>
        <v>戴尔/DELL</v>
      </c>
      <c r="H22" s="27" t="str">
        <f>VLOOKUP(B22,Sheet5!A22:J345,4,0)</f>
        <v>3677</v>
      </c>
      <c r="I22" s="27" t="str">
        <f>VLOOKUP(B22,Sheet5!A22:J345,5,0)</f>
        <v>99.00</v>
      </c>
      <c r="J22" s="27" t="str">
        <f>VLOOKUP(B22,Sheet5!A22:J345,6,0)</f>
        <v>2017/10/18</v>
      </c>
      <c r="K22" s="27" t="str">
        <f>VLOOKUP(B22,Sheet5!A22:J345,7,0)</f>
        <v>易点租</v>
      </c>
      <c r="L22" s="27" t="str">
        <f>VLOOKUP(B22,Sheet5!A22:J345,8,0)</f>
        <v/>
      </c>
      <c r="M22" s="27" t="str">
        <f>VLOOKUP(B22,Sheet5!A22:J345,9,0)</f>
        <v/>
      </c>
      <c r="N22" s="27" t="str">
        <f>VLOOKUP(B22,Sheet5!A22:J345,10,0)</f>
        <v/>
      </c>
    </row>
    <row r="23" spans="1:14" x14ac:dyDescent="0.2">
      <c r="A23" s="14" t="s">
        <v>24</v>
      </c>
      <c r="B23" s="14" t="s">
        <v>525</v>
      </c>
      <c r="C23" s="14">
        <v>4500</v>
      </c>
      <c r="D23" s="14" t="s">
        <v>689</v>
      </c>
      <c r="E23" s="14" t="s">
        <v>1200</v>
      </c>
      <c r="F23" s="27" t="str">
        <f>VLOOKUP(B23,Sheet5!A23:J346,2,0)</f>
        <v>笔记本电脑</v>
      </c>
      <c r="G23" s="27" t="str">
        <f>VLOOKUP(B23,Sheet5!A23:J346,3,0)</f>
        <v>ThinkPad</v>
      </c>
      <c r="H23" s="27" t="str">
        <f>VLOOKUP(B23,Sheet5!A23:J346,4,0)</f>
        <v>T440</v>
      </c>
      <c r="I23" s="27" t="str">
        <f>VLOOKUP(B23,Sheet5!A23:J346,5,0)</f>
        <v>115.00</v>
      </c>
      <c r="J23" s="27" t="str">
        <f>VLOOKUP(B23,Sheet5!A23:J346,6,0)</f>
        <v>2018/01/15</v>
      </c>
      <c r="K23" s="27" t="str">
        <f>VLOOKUP(B23,Sheet5!A23:J346,7,0)</f>
        <v>易点租</v>
      </c>
      <c r="L23" s="27" t="str">
        <f>VLOOKUP(B23,Sheet5!A23:J346,8,0)</f>
        <v/>
      </c>
      <c r="M23" s="27" t="str">
        <f>VLOOKUP(B23,Sheet5!A23:J346,9,0)</f>
        <v/>
      </c>
      <c r="N23" s="27" t="str">
        <f>VLOOKUP(B23,Sheet5!A23:J346,10,0)</f>
        <v/>
      </c>
    </row>
    <row r="24" spans="1:14" x14ac:dyDescent="0.2">
      <c r="A24" s="14" t="s">
        <v>25</v>
      </c>
      <c r="B24" s="14" t="s">
        <v>526</v>
      </c>
      <c r="C24" s="14">
        <v>4426</v>
      </c>
      <c r="D24" s="14" t="s">
        <v>689</v>
      </c>
      <c r="E24" s="14" t="s">
        <v>1200</v>
      </c>
      <c r="F24" s="27" t="str">
        <f>VLOOKUP(B24,Sheet5!A24:J347,2,0)</f>
        <v>笔记本电脑</v>
      </c>
      <c r="G24" s="27" t="str">
        <f>VLOOKUP(B24,Sheet5!A24:J347,3,0)</f>
        <v>ThinkPad</v>
      </c>
      <c r="H24" s="27" t="str">
        <f>VLOOKUP(B24,Sheet5!A24:J347,4,0)</f>
        <v>X230</v>
      </c>
      <c r="I24" s="27" t="str">
        <f>VLOOKUP(B24,Sheet5!A24:J347,5,0)</f>
        <v>100.00</v>
      </c>
      <c r="J24" s="27" t="str">
        <f>VLOOKUP(B24,Sheet5!A24:J347,6,0)</f>
        <v>2018/01/25</v>
      </c>
      <c r="K24" s="27" t="str">
        <f>VLOOKUP(B24,Sheet5!A24:J347,7,0)</f>
        <v>易点租</v>
      </c>
      <c r="L24" s="27" t="str">
        <f>VLOOKUP(B24,Sheet5!A24:J347,8,0)</f>
        <v>i5</v>
      </c>
      <c r="M24" s="27" t="str">
        <f>VLOOKUP(B24,Sheet5!A24:J347,9,0)</f>
        <v>8G</v>
      </c>
      <c r="N24" s="27" t="str">
        <f>VLOOKUP(B24,Sheet5!A24:J347,10,0)</f>
        <v>500G</v>
      </c>
    </row>
    <row r="25" spans="1:14" x14ac:dyDescent="0.2">
      <c r="A25" s="14" t="s">
        <v>26</v>
      </c>
      <c r="B25" s="14" t="s">
        <v>27</v>
      </c>
      <c r="C25" s="14">
        <v>6269</v>
      </c>
      <c r="D25" s="14" t="s">
        <v>689</v>
      </c>
      <c r="E25" s="14" t="s">
        <v>1200</v>
      </c>
      <c r="F25" s="27" t="str">
        <f>VLOOKUP(B25,Sheet5!A25:J348,2,0)</f>
        <v>笔记本电脑</v>
      </c>
      <c r="G25" s="27" t="str">
        <f>VLOOKUP(B25,Sheet5!A25:J348,3,0)</f>
        <v>ThinkPad</v>
      </c>
      <c r="H25" s="27" t="str">
        <f>VLOOKUP(B25,Sheet5!A25:J348,4,0)</f>
        <v>X230</v>
      </c>
      <c r="I25" s="27" t="str">
        <f>VLOOKUP(B25,Sheet5!A25:J348,5,0)</f>
        <v>100.00</v>
      </c>
      <c r="J25" s="27" t="str">
        <f>VLOOKUP(B25,Sheet5!A25:J348,6,0)</f>
        <v>2018/01/25</v>
      </c>
      <c r="K25" s="27" t="str">
        <f>VLOOKUP(B25,Sheet5!A25:J348,7,0)</f>
        <v>易点租</v>
      </c>
      <c r="L25" s="27" t="str">
        <f>VLOOKUP(B25,Sheet5!A25:J348,8,0)</f>
        <v>i5</v>
      </c>
      <c r="M25" s="27" t="str">
        <f>VLOOKUP(B25,Sheet5!A25:J348,9,0)</f>
        <v>8G</v>
      </c>
      <c r="N25" s="27" t="str">
        <f>VLOOKUP(B25,Sheet5!A25:J348,10,0)</f>
        <v>500G</v>
      </c>
    </row>
    <row r="26" spans="1:14" x14ac:dyDescent="0.2">
      <c r="A26" s="14" t="s">
        <v>28</v>
      </c>
      <c r="B26" s="14" t="s">
        <v>527</v>
      </c>
      <c r="C26" s="14">
        <v>5886</v>
      </c>
      <c r="D26" s="14" t="s">
        <v>689</v>
      </c>
      <c r="E26" s="14" t="s">
        <v>1200</v>
      </c>
      <c r="F26" s="27" t="str">
        <f>VLOOKUP(B26,Sheet5!A26:J349,2,0)</f>
        <v>笔记本电脑</v>
      </c>
      <c r="G26" s="27" t="str">
        <f>VLOOKUP(B26,Sheet5!A26:J349,3,0)</f>
        <v>ThinkPad</v>
      </c>
      <c r="H26" s="27" t="str">
        <f>VLOOKUP(B26,Sheet5!A26:J349,4,0)</f>
        <v>T440</v>
      </c>
      <c r="I26" s="27" t="str">
        <f>VLOOKUP(B26,Sheet5!A26:J349,5,0)</f>
        <v>115.00</v>
      </c>
      <c r="J26" s="27" t="str">
        <f>VLOOKUP(B26,Sheet5!A26:J349,6,0)</f>
        <v>2018/03/26</v>
      </c>
      <c r="K26" s="27" t="str">
        <f>VLOOKUP(B26,Sheet5!A26:J349,7,0)</f>
        <v>易点租</v>
      </c>
      <c r="L26" s="27" t="str">
        <f>VLOOKUP(B26,Sheet5!A26:J349,8,0)</f>
        <v/>
      </c>
      <c r="M26" s="27" t="str">
        <f>VLOOKUP(B26,Sheet5!A26:J349,9,0)</f>
        <v/>
      </c>
      <c r="N26" s="27" t="str">
        <f>VLOOKUP(B26,Sheet5!A26:J349,10,0)</f>
        <v/>
      </c>
    </row>
    <row r="27" spans="1:14" x14ac:dyDescent="0.2">
      <c r="A27" s="14" t="s">
        <v>1194</v>
      </c>
      <c r="B27" s="14" t="s">
        <v>528</v>
      </c>
      <c r="C27" s="14">
        <v>6269</v>
      </c>
      <c r="D27" s="14" t="s">
        <v>689</v>
      </c>
      <c r="E27" s="14" t="s">
        <v>1200</v>
      </c>
      <c r="F27" s="27" t="str">
        <f>VLOOKUP(B27,Sheet5!A27:J350,2,0)</f>
        <v>笔记本电脑</v>
      </c>
      <c r="G27" s="27" t="str">
        <f>VLOOKUP(B27,Sheet5!A27:J350,3,0)</f>
        <v>戴尔/DELL</v>
      </c>
      <c r="H27" s="27" t="str">
        <f>VLOOKUP(B27,Sheet5!A27:J350,4,0)</f>
        <v>3490</v>
      </c>
      <c r="I27" s="27" t="str">
        <f>VLOOKUP(B27,Sheet5!A27:J350,5,0)</f>
        <v>105.00</v>
      </c>
      <c r="J27" s="27" t="str">
        <f>VLOOKUP(B27,Sheet5!A27:J350,6,0)</f>
        <v>2018/04/21</v>
      </c>
      <c r="K27" s="27" t="str">
        <f>VLOOKUP(B27,Sheet5!A27:J350,7,0)</f>
        <v>易点租</v>
      </c>
      <c r="L27" s="27" t="str">
        <f>VLOOKUP(B27,Sheet5!A27:J350,8,0)</f>
        <v/>
      </c>
      <c r="M27" s="27" t="str">
        <f>VLOOKUP(B27,Sheet5!A27:J350,9,0)</f>
        <v/>
      </c>
      <c r="N27" s="27" t="str">
        <f>VLOOKUP(B27,Sheet5!A27:J350,10,0)</f>
        <v/>
      </c>
    </row>
    <row r="28" spans="1:14" x14ac:dyDescent="0.2">
      <c r="A28" s="14" t="s">
        <v>1194</v>
      </c>
      <c r="B28" s="14" t="s">
        <v>529</v>
      </c>
      <c r="C28" s="14">
        <v>6269</v>
      </c>
      <c r="D28" s="14" t="s">
        <v>689</v>
      </c>
      <c r="E28" s="14" t="s">
        <v>1200</v>
      </c>
      <c r="F28" s="27" t="str">
        <f>VLOOKUP(B28,Sheet5!A28:J351,2,0)</f>
        <v>笔记本电脑</v>
      </c>
      <c r="G28" s="27" t="str">
        <f>VLOOKUP(B28,Sheet5!A28:J351,3,0)</f>
        <v>戴尔/DELL</v>
      </c>
      <c r="H28" s="27" t="str">
        <f>VLOOKUP(B28,Sheet5!A28:J351,4,0)</f>
        <v>3490</v>
      </c>
      <c r="I28" s="27" t="str">
        <f>VLOOKUP(B28,Sheet5!A28:J351,5,0)</f>
        <v>105.00</v>
      </c>
      <c r="J28" s="27" t="str">
        <f>VLOOKUP(B28,Sheet5!A28:J351,6,0)</f>
        <v>2018/04/21</v>
      </c>
      <c r="K28" s="27" t="str">
        <f>VLOOKUP(B28,Sheet5!A28:J351,7,0)</f>
        <v>易点租</v>
      </c>
      <c r="L28" s="27" t="str">
        <f>VLOOKUP(B28,Sheet5!A28:J351,8,0)</f>
        <v/>
      </c>
      <c r="M28" s="27" t="str">
        <f>VLOOKUP(B28,Sheet5!A28:J351,9,0)</f>
        <v/>
      </c>
      <c r="N28" s="27" t="str">
        <f>VLOOKUP(B28,Sheet5!A28:J351,10,0)</f>
        <v/>
      </c>
    </row>
    <row r="29" spans="1:14" x14ac:dyDescent="0.2">
      <c r="A29" s="14" t="s">
        <v>1194</v>
      </c>
      <c r="B29" s="14" t="s">
        <v>29</v>
      </c>
      <c r="C29" s="14">
        <v>6269</v>
      </c>
      <c r="D29" s="14" t="s">
        <v>689</v>
      </c>
      <c r="E29" s="14" t="s">
        <v>1200</v>
      </c>
      <c r="F29" s="27" t="str">
        <f>VLOOKUP(B29,Sheet5!A29:J352,2,0)</f>
        <v>投影仪</v>
      </c>
      <c r="G29" s="27" t="str">
        <f>VLOOKUP(B29,Sheet5!A29:J352,3,0)</f>
        <v>明基/BenQ</v>
      </c>
      <c r="H29" s="27" t="str">
        <f>VLOOKUP(B29,Sheet5!A29:J352,4,0)</f>
        <v>MX</v>
      </c>
      <c r="I29" s="27" t="str">
        <f>VLOOKUP(B29,Sheet5!A29:J352,5,0)</f>
        <v>298.00</v>
      </c>
      <c r="J29" s="27" t="str">
        <f>VLOOKUP(B29,Sheet5!A29:J352,6,0)</f>
        <v>2018/01/16</v>
      </c>
      <c r="K29" s="27" t="str">
        <f>VLOOKUP(B29,Sheet5!A29:J352,7,0)</f>
        <v>易点租</v>
      </c>
      <c r="L29" s="27" t="str">
        <f>VLOOKUP(B29,Sheet5!A29:J352,8,0)</f>
        <v/>
      </c>
      <c r="M29" s="27" t="str">
        <f>VLOOKUP(B29,Sheet5!A29:J352,9,0)</f>
        <v/>
      </c>
      <c r="N29" s="27" t="str">
        <f>VLOOKUP(B29,Sheet5!A29:J352,10,0)</f>
        <v/>
      </c>
    </row>
    <row r="30" spans="1:14" x14ac:dyDescent="0.2">
      <c r="A30" s="14" t="s">
        <v>1194</v>
      </c>
      <c r="B30" s="14" t="s">
        <v>30</v>
      </c>
      <c r="C30" s="14">
        <v>6269</v>
      </c>
      <c r="D30" s="14" t="s">
        <v>689</v>
      </c>
      <c r="E30" s="14" t="s">
        <v>1200</v>
      </c>
      <c r="F30" s="27" t="str">
        <f>VLOOKUP(B30,Sheet5!A30:J353,2,0)</f>
        <v>投影仪</v>
      </c>
      <c r="G30" s="27" t="str">
        <f>VLOOKUP(B30,Sheet5!A30:J353,3,0)</f>
        <v>明基/BenQ</v>
      </c>
      <c r="H30" s="27" t="str">
        <f>VLOOKUP(B30,Sheet5!A30:J353,4,0)</f>
        <v>MX</v>
      </c>
      <c r="I30" s="27" t="str">
        <f>VLOOKUP(B30,Sheet5!A30:J353,5,0)</f>
        <v>298.00</v>
      </c>
      <c r="J30" s="27" t="str">
        <f>VLOOKUP(B30,Sheet5!A30:J353,6,0)</f>
        <v>2018/01/16</v>
      </c>
      <c r="K30" s="27" t="str">
        <f>VLOOKUP(B30,Sheet5!A30:J353,7,0)</f>
        <v>易点租</v>
      </c>
      <c r="L30" s="27" t="str">
        <f>VLOOKUP(B30,Sheet5!A30:J353,8,0)</f>
        <v/>
      </c>
      <c r="M30" s="27" t="str">
        <f>VLOOKUP(B30,Sheet5!A30:J353,9,0)</f>
        <v/>
      </c>
      <c r="N30" s="27" t="str">
        <f>VLOOKUP(B30,Sheet5!A30:J353,10,0)</f>
        <v/>
      </c>
    </row>
    <row r="31" spans="1:14" x14ac:dyDescent="0.2">
      <c r="A31" s="14" t="s">
        <v>1194</v>
      </c>
      <c r="B31" s="14" t="s">
        <v>1208</v>
      </c>
      <c r="C31" s="14">
        <v>6269</v>
      </c>
      <c r="D31" s="14" t="s">
        <v>689</v>
      </c>
      <c r="E31" s="14" t="s">
        <v>1200</v>
      </c>
      <c r="F31" s="27" t="e">
        <f>VLOOKUP(B31,Sheet5!A31:J354,2,0)</f>
        <v>#N/A</v>
      </c>
      <c r="G31" s="27" t="e">
        <f>VLOOKUP(B31,Sheet5!A31:J354,3,0)</f>
        <v>#N/A</v>
      </c>
      <c r="H31" s="27" t="e">
        <f>VLOOKUP(B31,Sheet5!A31:J354,4,0)</f>
        <v>#N/A</v>
      </c>
      <c r="I31" s="27" t="e">
        <f>VLOOKUP(B31,Sheet5!A31:J354,5,0)</f>
        <v>#N/A</v>
      </c>
      <c r="J31" s="27" t="e">
        <f>VLOOKUP(B31,Sheet5!A31:J354,6,0)</f>
        <v>#N/A</v>
      </c>
      <c r="K31" s="27" t="e">
        <f>VLOOKUP(B31,Sheet5!A31:J354,7,0)</f>
        <v>#N/A</v>
      </c>
      <c r="L31" s="27" t="e">
        <f>VLOOKUP(B31,Sheet5!A31:J354,8,0)</f>
        <v>#N/A</v>
      </c>
      <c r="M31" s="27" t="e">
        <f>VLOOKUP(B31,Sheet5!A31:J354,9,0)</f>
        <v>#N/A</v>
      </c>
      <c r="N31" s="27" t="e">
        <f>VLOOKUP(B31,Sheet5!A31:J354,10,0)</f>
        <v>#N/A</v>
      </c>
    </row>
    <row r="32" spans="1:14" x14ac:dyDescent="0.2">
      <c r="A32" s="14" t="s">
        <v>1194</v>
      </c>
      <c r="B32" s="14" t="s">
        <v>1208</v>
      </c>
      <c r="C32" s="14">
        <v>6269</v>
      </c>
      <c r="D32" s="14" t="s">
        <v>689</v>
      </c>
      <c r="E32" s="14" t="s">
        <v>1200</v>
      </c>
      <c r="F32" s="27" t="e">
        <f>VLOOKUP(B32,Sheet5!A32:J355,2,0)</f>
        <v>#N/A</v>
      </c>
      <c r="G32" s="27" t="e">
        <f>VLOOKUP(B32,Sheet5!A32:J355,3,0)</f>
        <v>#N/A</v>
      </c>
      <c r="H32" s="27" t="e">
        <f>VLOOKUP(B32,Sheet5!A32:J355,4,0)</f>
        <v>#N/A</v>
      </c>
      <c r="I32" s="27" t="e">
        <f>VLOOKUP(B32,Sheet5!A32:J355,5,0)</f>
        <v>#N/A</v>
      </c>
      <c r="J32" s="27" t="e">
        <f>VLOOKUP(B32,Sheet5!A32:J355,6,0)</f>
        <v>#N/A</v>
      </c>
      <c r="K32" s="27" t="e">
        <f>VLOOKUP(B32,Sheet5!A32:J355,7,0)</f>
        <v>#N/A</v>
      </c>
      <c r="L32" s="27" t="e">
        <f>VLOOKUP(B32,Sheet5!A32:J355,8,0)</f>
        <v>#N/A</v>
      </c>
      <c r="M32" s="27" t="e">
        <f>VLOOKUP(B32,Sheet5!A32:J355,9,0)</f>
        <v>#N/A</v>
      </c>
      <c r="N32" s="27" t="e">
        <f>VLOOKUP(B32,Sheet5!A32:J355,10,0)</f>
        <v>#N/A</v>
      </c>
    </row>
    <row r="33" spans="1:14" x14ac:dyDescent="0.2">
      <c r="A33" s="14" t="s">
        <v>1194</v>
      </c>
      <c r="B33" s="14" t="s">
        <v>1208</v>
      </c>
      <c r="C33" s="14">
        <v>6269</v>
      </c>
      <c r="D33" s="14" t="s">
        <v>689</v>
      </c>
      <c r="E33" s="14" t="s">
        <v>1200</v>
      </c>
      <c r="F33" s="27" t="e">
        <f>VLOOKUP(B33,Sheet5!A33:J356,2,0)</f>
        <v>#N/A</v>
      </c>
      <c r="G33" s="27" t="e">
        <f>VLOOKUP(B33,Sheet5!A33:J356,3,0)</f>
        <v>#N/A</v>
      </c>
      <c r="H33" s="27" t="e">
        <f>VLOOKUP(B33,Sheet5!A33:J356,4,0)</f>
        <v>#N/A</v>
      </c>
      <c r="I33" s="27" t="e">
        <f>VLOOKUP(B33,Sheet5!A33:J356,5,0)</f>
        <v>#N/A</v>
      </c>
      <c r="J33" s="27" t="e">
        <f>VLOOKUP(B33,Sheet5!A33:J356,6,0)</f>
        <v>#N/A</v>
      </c>
      <c r="K33" s="27" t="e">
        <f>VLOOKUP(B33,Sheet5!A33:J356,7,0)</f>
        <v>#N/A</v>
      </c>
      <c r="L33" s="27" t="e">
        <f>VLOOKUP(B33,Sheet5!A33:J356,8,0)</f>
        <v>#N/A</v>
      </c>
      <c r="M33" s="27" t="e">
        <f>VLOOKUP(B33,Sheet5!A33:J356,9,0)</f>
        <v>#N/A</v>
      </c>
      <c r="N33" s="27" t="e">
        <f>VLOOKUP(B33,Sheet5!A33:J356,10,0)</f>
        <v>#N/A</v>
      </c>
    </row>
    <row r="34" spans="1:14" x14ac:dyDescent="0.2">
      <c r="A34" s="14" t="s">
        <v>31</v>
      </c>
      <c r="B34" s="14" t="s">
        <v>32</v>
      </c>
      <c r="C34" s="14">
        <v>14614</v>
      </c>
      <c r="D34" s="14" t="s">
        <v>689</v>
      </c>
      <c r="E34" s="14" t="s">
        <v>1200</v>
      </c>
      <c r="F34" s="27" t="str">
        <f>VLOOKUP(B34,Sheet5!A34:J357,2,0)</f>
        <v>笔记本电脑</v>
      </c>
      <c r="G34" s="27" t="str">
        <f>VLOOKUP(B34,Sheet5!A34:J357,3,0)</f>
        <v>ThinkPad</v>
      </c>
      <c r="H34" s="27" t="str">
        <f>VLOOKUP(B34,Sheet5!A34:J357,4,0)</f>
        <v>T430</v>
      </c>
      <c r="I34" s="27" t="str">
        <f>VLOOKUP(B34,Sheet5!A34:J357,5,0)</f>
        <v>110.00</v>
      </c>
      <c r="J34" s="27" t="str">
        <f>VLOOKUP(B34,Sheet5!A34:J357,6,0)</f>
        <v>2017/10/10</v>
      </c>
      <c r="K34" s="27" t="str">
        <f>VLOOKUP(B34,Sheet5!A34:J357,7,0)</f>
        <v>易点租</v>
      </c>
      <c r="L34" s="27" t="str">
        <f>VLOOKUP(B34,Sheet5!A34:J357,8,0)</f>
        <v>i5</v>
      </c>
      <c r="M34" s="27" t="str">
        <f>VLOOKUP(B34,Sheet5!A34:J357,9,0)</f>
        <v>8G</v>
      </c>
      <c r="N34" s="27" t="str">
        <f>VLOOKUP(B34,Sheet5!A34:J357,10,0)</f>
        <v>500G</v>
      </c>
    </row>
    <row r="35" spans="1:14" x14ac:dyDescent="0.2">
      <c r="A35" s="14" t="s">
        <v>33</v>
      </c>
      <c r="B35" s="14" t="s">
        <v>530</v>
      </c>
      <c r="C35" s="14">
        <v>2567</v>
      </c>
      <c r="D35" s="14" t="s">
        <v>689</v>
      </c>
      <c r="E35" s="14" t="s">
        <v>1200</v>
      </c>
      <c r="F35" s="27" t="e">
        <f>VLOOKUP(B35,Sheet5!A35:J358,2,0)</f>
        <v>#N/A</v>
      </c>
      <c r="G35" s="27" t="e">
        <f>VLOOKUP(B35,Sheet5!A35:J358,3,0)</f>
        <v>#N/A</v>
      </c>
      <c r="H35" s="27" t="e">
        <f>VLOOKUP(B35,Sheet5!A35:J358,4,0)</f>
        <v>#N/A</v>
      </c>
      <c r="I35" s="27" t="e">
        <f>VLOOKUP(B35,Sheet5!A35:J358,5,0)</f>
        <v>#N/A</v>
      </c>
      <c r="J35" s="27" t="e">
        <f>VLOOKUP(B35,Sheet5!A35:J358,6,0)</f>
        <v>#N/A</v>
      </c>
      <c r="K35" s="27" t="e">
        <f>VLOOKUP(B35,Sheet5!A35:J358,7,0)</f>
        <v>#N/A</v>
      </c>
      <c r="L35" s="27" t="e">
        <f>VLOOKUP(B35,Sheet5!A35:J358,8,0)</f>
        <v>#N/A</v>
      </c>
      <c r="M35" s="27" t="e">
        <f>VLOOKUP(B35,Sheet5!A35:J358,9,0)</f>
        <v>#N/A</v>
      </c>
      <c r="N35" s="27" t="e">
        <f>VLOOKUP(B35,Sheet5!A35:J358,10,0)</f>
        <v>#N/A</v>
      </c>
    </row>
    <row r="36" spans="1:14" x14ac:dyDescent="0.2">
      <c r="A36" s="14" t="s">
        <v>34</v>
      </c>
      <c r="B36" s="14" t="s">
        <v>531</v>
      </c>
      <c r="C36" s="14">
        <v>13632</v>
      </c>
      <c r="D36" s="14" t="s">
        <v>689</v>
      </c>
      <c r="E36" s="14" t="s">
        <v>1200</v>
      </c>
      <c r="F36" s="27" t="str">
        <f>VLOOKUP(B36,Sheet5!A36:J359,2,0)</f>
        <v>笔记本电脑</v>
      </c>
      <c r="G36" s="27" t="str">
        <f>VLOOKUP(B36,Sheet5!A36:J359,3,0)</f>
        <v>ThinkPad</v>
      </c>
      <c r="H36" s="27" t="str">
        <f>VLOOKUP(B36,Sheet5!A36:J359,4,0)</f>
        <v>T440</v>
      </c>
      <c r="I36" s="27" t="str">
        <f>VLOOKUP(B36,Sheet5!A36:J359,5,0)</f>
        <v>115.00</v>
      </c>
      <c r="J36" s="27" t="str">
        <f>VLOOKUP(B36,Sheet5!A36:J359,6,0)</f>
        <v>2018/03/18</v>
      </c>
      <c r="K36" s="27" t="str">
        <f>VLOOKUP(B36,Sheet5!A36:J359,7,0)</f>
        <v>易点租</v>
      </c>
      <c r="L36" s="27" t="str">
        <f>VLOOKUP(B36,Sheet5!A36:J359,8,0)</f>
        <v/>
      </c>
      <c r="M36" s="27" t="str">
        <f>VLOOKUP(B36,Sheet5!A36:J359,9,0)</f>
        <v/>
      </c>
      <c r="N36" s="27" t="str">
        <f>VLOOKUP(B36,Sheet5!A36:J359,10,0)</f>
        <v/>
      </c>
    </row>
    <row r="37" spans="1:14" x14ac:dyDescent="0.2">
      <c r="A37" s="14" t="s">
        <v>35</v>
      </c>
      <c r="B37" s="14" t="s">
        <v>532</v>
      </c>
      <c r="C37" s="14">
        <v>526</v>
      </c>
      <c r="D37" s="14" t="s">
        <v>689</v>
      </c>
      <c r="E37" s="14" t="s">
        <v>1200</v>
      </c>
      <c r="F37" s="27" t="str">
        <f>VLOOKUP(B37,Sheet5!A37:J360,2,0)</f>
        <v>笔记本电脑</v>
      </c>
      <c r="G37" s="27" t="str">
        <f>VLOOKUP(B37,Sheet5!A37:J360,3,0)</f>
        <v>戴尔/DELL</v>
      </c>
      <c r="H37" s="27" t="str">
        <f>VLOOKUP(B37,Sheet5!A37:J360,4,0)</f>
        <v>3490</v>
      </c>
      <c r="I37" s="27" t="str">
        <f>VLOOKUP(B37,Sheet5!A37:J360,5,0)</f>
        <v>105.00</v>
      </c>
      <c r="J37" s="27" t="str">
        <f>VLOOKUP(B37,Sheet5!A37:J360,6,0)</f>
        <v>2018/04/20</v>
      </c>
      <c r="K37" s="27" t="str">
        <f>VLOOKUP(B37,Sheet5!A37:J360,7,0)</f>
        <v>易点租</v>
      </c>
      <c r="L37" s="27" t="str">
        <f>VLOOKUP(B37,Sheet5!A37:J360,8,0)</f>
        <v/>
      </c>
      <c r="M37" s="27" t="str">
        <f>VLOOKUP(B37,Sheet5!A37:J360,9,0)</f>
        <v/>
      </c>
      <c r="N37" s="27" t="str">
        <f>VLOOKUP(B37,Sheet5!A37:J360,10,0)</f>
        <v/>
      </c>
    </row>
    <row r="38" spans="1:14" x14ac:dyDescent="0.2">
      <c r="A38" s="14" t="s">
        <v>36</v>
      </c>
      <c r="B38" s="14" t="s">
        <v>533</v>
      </c>
      <c r="C38" s="14">
        <v>15519</v>
      </c>
      <c r="D38" s="14" t="s">
        <v>689</v>
      </c>
      <c r="E38" s="14" t="s">
        <v>1200</v>
      </c>
      <c r="F38" s="27" t="str">
        <f>VLOOKUP(B38,Sheet5!A38:J361,2,0)</f>
        <v>笔记本电脑</v>
      </c>
      <c r="G38" s="27" t="str">
        <f>VLOOKUP(B38,Sheet5!A38:J361,3,0)</f>
        <v>ThinkPad</v>
      </c>
      <c r="H38" s="27" t="str">
        <f>VLOOKUP(B38,Sheet5!A38:J361,4,0)</f>
        <v>X240</v>
      </c>
      <c r="I38" s="27" t="str">
        <f>VLOOKUP(B38,Sheet5!A38:J361,5,0)</f>
        <v>115.00</v>
      </c>
      <c r="J38" s="27" t="str">
        <f>VLOOKUP(B38,Sheet5!A38:J361,6,0)</f>
        <v>2018/04/21</v>
      </c>
      <c r="K38" s="27" t="str">
        <f>VLOOKUP(B38,Sheet5!A38:J361,7,0)</f>
        <v>易点租</v>
      </c>
      <c r="L38" s="27" t="str">
        <f>VLOOKUP(B38,Sheet5!A38:J361,8,0)</f>
        <v>i5</v>
      </c>
      <c r="M38" s="27" t="str">
        <f>VLOOKUP(B38,Sheet5!A38:J361,9,0)</f>
        <v>8G</v>
      </c>
      <c r="N38" s="27" t="str">
        <f>VLOOKUP(B38,Sheet5!A38:J361,10,0)</f>
        <v>500G</v>
      </c>
    </row>
    <row r="39" spans="1:14" x14ac:dyDescent="0.2">
      <c r="A39" s="14" t="s">
        <v>37</v>
      </c>
      <c r="B39" s="14" t="s">
        <v>534</v>
      </c>
      <c r="C39" s="14">
        <v>1140</v>
      </c>
      <c r="D39" s="14" t="s">
        <v>689</v>
      </c>
      <c r="E39" s="14" t="s">
        <v>1200</v>
      </c>
      <c r="F39" s="27" t="str">
        <f>VLOOKUP(B39,Sheet5!A39:J362,2,0)</f>
        <v>笔记本电脑</v>
      </c>
      <c r="G39" s="27" t="str">
        <f>VLOOKUP(B39,Sheet5!A39:J362,3,0)</f>
        <v>ThinkPad</v>
      </c>
      <c r="H39" s="27" t="str">
        <f>VLOOKUP(B39,Sheet5!A39:J362,4,0)</f>
        <v>X230</v>
      </c>
      <c r="I39" s="27" t="str">
        <f>VLOOKUP(B39,Sheet5!A39:J362,5,0)</f>
        <v>115.00</v>
      </c>
      <c r="J39" s="27" t="str">
        <f>VLOOKUP(B39,Sheet5!A39:J362,6,0)</f>
        <v>2017/09/01</v>
      </c>
      <c r="K39" s="27" t="str">
        <f>VLOOKUP(B39,Sheet5!A39:J362,7,0)</f>
        <v>易点租</v>
      </c>
      <c r="L39" s="27" t="str">
        <f>VLOOKUP(B39,Sheet5!A39:J362,8,0)</f>
        <v>i5</v>
      </c>
      <c r="M39" s="27" t="str">
        <f>VLOOKUP(B39,Sheet5!A39:J362,9,0)</f>
        <v>8G</v>
      </c>
      <c r="N39" s="27" t="str">
        <f>VLOOKUP(B39,Sheet5!A39:J362,10,0)</f>
        <v>500G</v>
      </c>
    </row>
    <row r="40" spans="1:14" x14ac:dyDescent="0.2">
      <c r="A40" s="14" t="s">
        <v>38</v>
      </c>
      <c r="B40" s="14" t="s">
        <v>535</v>
      </c>
      <c r="C40" s="14">
        <v>13763</v>
      </c>
      <c r="D40" s="14" t="s">
        <v>689</v>
      </c>
      <c r="E40" s="14" t="s">
        <v>1200</v>
      </c>
      <c r="F40" s="27" t="e">
        <f>VLOOKUP(B40,Sheet5!A40:J363,2,0)</f>
        <v>#N/A</v>
      </c>
      <c r="G40" s="27" t="e">
        <f>VLOOKUP(B40,Sheet5!A40:J363,3,0)</f>
        <v>#N/A</v>
      </c>
      <c r="H40" s="27" t="e">
        <f>VLOOKUP(B40,Sheet5!A40:J363,4,0)</f>
        <v>#N/A</v>
      </c>
      <c r="I40" s="27" t="e">
        <f>VLOOKUP(B40,Sheet5!A40:J363,5,0)</f>
        <v>#N/A</v>
      </c>
      <c r="J40" s="27" t="e">
        <f>VLOOKUP(B40,Sheet5!A40:J363,6,0)</f>
        <v>#N/A</v>
      </c>
      <c r="K40" s="27" t="e">
        <f>VLOOKUP(B40,Sheet5!A40:J363,7,0)</f>
        <v>#N/A</v>
      </c>
      <c r="L40" s="27" t="e">
        <f>VLOOKUP(B40,Sheet5!A40:J363,8,0)</f>
        <v>#N/A</v>
      </c>
      <c r="M40" s="27" t="e">
        <f>VLOOKUP(B40,Sheet5!A40:J363,9,0)</f>
        <v>#N/A</v>
      </c>
      <c r="N40" s="27" t="e">
        <f>VLOOKUP(B40,Sheet5!A40:J363,10,0)</f>
        <v>#N/A</v>
      </c>
    </row>
    <row r="41" spans="1:14" x14ac:dyDescent="0.2">
      <c r="A41" s="14" t="s">
        <v>39</v>
      </c>
      <c r="B41" s="14" t="s">
        <v>536</v>
      </c>
      <c r="C41" s="14">
        <v>12807</v>
      </c>
      <c r="D41" s="14" t="s">
        <v>689</v>
      </c>
      <c r="E41" s="14" t="s">
        <v>1200</v>
      </c>
      <c r="F41" s="27" t="str">
        <f>VLOOKUP(B41,Sheet5!A41:J364,2,0)</f>
        <v>笔记本电脑</v>
      </c>
      <c r="G41" s="27" t="str">
        <f>VLOOKUP(B41,Sheet5!A41:J364,3,0)</f>
        <v>ThinkPad</v>
      </c>
      <c r="H41" s="27" t="str">
        <f>VLOOKUP(B41,Sheet5!A41:J364,4,0)</f>
        <v>X230</v>
      </c>
      <c r="I41" s="27" t="str">
        <f>VLOOKUP(B41,Sheet5!A41:J364,5,0)</f>
        <v>95.00</v>
      </c>
      <c r="J41" s="27" t="str">
        <f>VLOOKUP(B41,Sheet5!A41:J364,6,0)</f>
        <v>2018/11/20</v>
      </c>
      <c r="K41" s="27" t="str">
        <f>VLOOKUP(B41,Sheet5!A41:J364,7,0)</f>
        <v>易点租</v>
      </c>
      <c r="L41" s="27" t="str">
        <f>VLOOKUP(B41,Sheet5!A41:J364,8,0)</f>
        <v>i5</v>
      </c>
      <c r="M41" s="27" t="str">
        <f>VLOOKUP(B41,Sheet5!A41:J364,9,0)</f>
        <v>8G</v>
      </c>
      <c r="N41" s="27" t="str">
        <f>VLOOKUP(B41,Sheet5!A41:J364,10,0)</f>
        <v>500G</v>
      </c>
    </row>
    <row r="42" spans="1:14" x14ac:dyDescent="0.2">
      <c r="A42" s="14" t="s">
        <v>40</v>
      </c>
      <c r="B42" s="14" t="s">
        <v>41</v>
      </c>
      <c r="C42" s="14">
        <v>9346</v>
      </c>
      <c r="D42" s="14" t="s">
        <v>689</v>
      </c>
      <c r="E42" s="14" t="s">
        <v>1200</v>
      </c>
      <c r="F42" s="27" t="str">
        <f>VLOOKUP(B42,Sheet5!A42:J365,2,0)</f>
        <v>笔记本电脑</v>
      </c>
      <c r="G42" s="27" t="str">
        <f>VLOOKUP(B42,Sheet5!A42:J365,3,0)</f>
        <v>ThinkPad</v>
      </c>
      <c r="H42" s="27" t="str">
        <f>VLOOKUP(B42,Sheet5!A42:J365,4,0)</f>
        <v>X230</v>
      </c>
      <c r="I42" s="27" t="str">
        <f>VLOOKUP(B42,Sheet5!A42:J365,5,0)</f>
        <v>100.00</v>
      </c>
      <c r="J42" s="27" t="str">
        <f>VLOOKUP(B42,Sheet5!A42:J365,6,0)</f>
        <v>2018/01/25</v>
      </c>
      <c r="K42" s="27" t="str">
        <f>VLOOKUP(B42,Sheet5!A42:J365,7,0)</f>
        <v>易点租</v>
      </c>
      <c r="L42" s="27" t="str">
        <f>VLOOKUP(B42,Sheet5!A42:J365,8,0)</f>
        <v>i5</v>
      </c>
      <c r="M42" s="27" t="str">
        <f>VLOOKUP(B42,Sheet5!A42:J365,9,0)</f>
        <v>8G</v>
      </c>
      <c r="N42" s="27" t="str">
        <f>VLOOKUP(B42,Sheet5!A42:J365,10,0)</f>
        <v>500G</v>
      </c>
    </row>
    <row r="43" spans="1:14" x14ac:dyDescent="0.2">
      <c r="A43" s="14" t="s">
        <v>42</v>
      </c>
      <c r="B43" s="14" t="s">
        <v>537</v>
      </c>
      <c r="C43" s="14">
        <v>15515</v>
      </c>
      <c r="D43" s="14" t="s">
        <v>689</v>
      </c>
      <c r="E43" s="14" t="s">
        <v>1200</v>
      </c>
      <c r="F43" s="27" t="str">
        <f>VLOOKUP(B43,Sheet5!A43:J366,2,0)</f>
        <v>笔记本电脑</v>
      </c>
      <c r="G43" s="27" t="str">
        <f>VLOOKUP(B43,Sheet5!A43:J366,3,0)</f>
        <v>ThinkPad</v>
      </c>
      <c r="H43" s="27" t="str">
        <f>VLOOKUP(B43,Sheet5!A43:J366,4,0)</f>
        <v>X230</v>
      </c>
      <c r="I43" s="27" t="str">
        <f>VLOOKUP(B43,Sheet5!A43:J366,5,0)</f>
        <v>100.00</v>
      </c>
      <c r="J43" s="27" t="str">
        <f>VLOOKUP(B43,Sheet5!A43:J366,6,0)</f>
        <v>2018/02/27</v>
      </c>
      <c r="K43" s="27" t="str">
        <f>VLOOKUP(B43,Sheet5!A43:J366,7,0)</f>
        <v>易点租</v>
      </c>
      <c r="L43" s="27" t="str">
        <f>VLOOKUP(B43,Sheet5!A43:J366,8,0)</f>
        <v>i5</v>
      </c>
      <c r="M43" s="27" t="str">
        <f>VLOOKUP(B43,Sheet5!A43:J366,9,0)</f>
        <v>8G</v>
      </c>
      <c r="N43" s="27" t="str">
        <f>VLOOKUP(B43,Sheet5!A43:J366,10,0)</f>
        <v>500G</v>
      </c>
    </row>
    <row r="44" spans="1:14" x14ac:dyDescent="0.2">
      <c r="A44" s="14" t="s">
        <v>43</v>
      </c>
      <c r="B44" s="14" t="s">
        <v>44</v>
      </c>
      <c r="C44" s="14">
        <v>4401</v>
      </c>
      <c r="D44" s="14" t="s">
        <v>689</v>
      </c>
      <c r="E44" s="14" t="s">
        <v>1200</v>
      </c>
      <c r="F44" s="27" t="str">
        <f>VLOOKUP(B44,Sheet5!A44:J367,2,0)</f>
        <v>笔记本电脑</v>
      </c>
      <c r="G44" s="27" t="str">
        <f>VLOOKUP(B44,Sheet5!A44:J367,3,0)</f>
        <v>戴尔/DELL</v>
      </c>
      <c r="H44" s="27" t="str">
        <f>VLOOKUP(B44,Sheet5!A44:J367,4,0)</f>
        <v>3490</v>
      </c>
      <c r="I44" s="27" t="str">
        <f>VLOOKUP(B44,Sheet5!A44:J367,5,0)</f>
        <v>105.00</v>
      </c>
      <c r="J44" s="27" t="str">
        <f>VLOOKUP(B44,Sheet5!A44:J367,6,0)</f>
        <v>2018/04/21</v>
      </c>
      <c r="K44" s="27" t="str">
        <f>VLOOKUP(B44,Sheet5!A44:J367,7,0)</f>
        <v>易点租</v>
      </c>
      <c r="L44" s="27" t="str">
        <f>VLOOKUP(B44,Sheet5!A44:J367,8,0)</f>
        <v/>
      </c>
      <c r="M44" s="27" t="str">
        <f>VLOOKUP(B44,Sheet5!A44:J367,9,0)</f>
        <v/>
      </c>
      <c r="N44" s="27" t="str">
        <f>VLOOKUP(B44,Sheet5!A44:J367,10,0)</f>
        <v/>
      </c>
    </row>
    <row r="45" spans="1:14" x14ac:dyDescent="0.2">
      <c r="A45" s="14" t="s">
        <v>45</v>
      </c>
      <c r="B45" s="14" t="s">
        <v>538</v>
      </c>
      <c r="C45" s="14">
        <v>7780</v>
      </c>
      <c r="D45" s="14" t="s">
        <v>689</v>
      </c>
      <c r="E45" s="14" t="s">
        <v>1200</v>
      </c>
      <c r="F45" s="27" t="str">
        <f>VLOOKUP(B45,Sheet5!A45:J368,2,0)</f>
        <v>笔记本电脑</v>
      </c>
      <c r="G45" s="27" t="str">
        <f>VLOOKUP(B45,Sheet5!A45:J368,3,0)</f>
        <v>ThinkPad</v>
      </c>
      <c r="H45" s="27" t="str">
        <f>VLOOKUP(B45,Sheet5!A45:J368,4,0)</f>
        <v>X230</v>
      </c>
      <c r="I45" s="27" t="str">
        <f>VLOOKUP(B45,Sheet5!A45:J368,5,0)</f>
        <v>110.00</v>
      </c>
      <c r="J45" s="27" t="str">
        <f>VLOOKUP(B45,Sheet5!A45:J368,6,0)</f>
        <v>2017/10/16</v>
      </c>
      <c r="K45" s="27" t="str">
        <f>VLOOKUP(B45,Sheet5!A45:J368,7,0)</f>
        <v>易点租</v>
      </c>
      <c r="L45" s="27" t="str">
        <f>VLOOKUP(B45,Sheet5!A45:J368,8,0)</f>
        <v>i5</v>
      </c>
      <c r="M45" s="27" t="str">
        <f>VLOOKUP(B45,Sheet5!A45:J368,9,0)</f>
        <v>8G</v>
      </c>
      <c r="N45" s="27" t="str">
        <f>VLOOKUP(B45,Sheet5!A45:J368,10,0)</f>
        <v>500G</v>
      </c>
    </row>
    <row r="46" spans="1:14" x14ac:dyDescent="0.2">
      <c r="A46" s="14" t="s">
        <v>46</v>
      </c>
      <c r="B46" s="14" t="s">
        <v>47</v>
      </c>
      <c r="C46" s="14">
        <v>14988</v>
      </c>
      <c r="D46" s="14" t="s">
        <v>689</v>
      </c>
      <c r="E46" s="14" t="s">
        <v>1200</v>
      </c>
      <c r="F46" s="27" t="str">
        <f>VLOOKUP(B46,Sheet5!A46:J369,2,0)</f>
        <v>笔记本电脑</v>
      </c>
      <c r="G46" s="27" t="str">
        <f>VLOOKUP(B46,Sheet5!A46:J369,3,0)</f>
        <v>ThinkPad</v>
      </c>
      <c r="H46" s="27" t="str">
        <f>VLOOKUP(B46,Sheet5!A46:J369,4,0)</f>
        <v>X220</v>
      </c>
      <c r="I46" s="27" t="str">
        <f>VLOOKUP(B46,Sheet5!A46:J369,5,0)</f>
        <v>110.00</v>
      </c>
      <c r="J46" s="27" t="str">
        <f>VLOOKUP(B46,Sheet5!A46:J369,6,0)</f>
        <v>2018/02/14</v>
      </c>
      <c r="K46" s="27" t="str">
        <f>VLOOKUP(B46,Sheet5!A46:J369,7,0)</f>
        <v>易点租</v>
      </c>
      <c r="L46" s="27" t="str">
        <f>VLOOKUP(B46,Sheet5!A46:J369,8,0)</f>
        <v>i5</v>
      </c>
      <c r="M46" s="27" t="str">
        <f>VLOOKUP(B46,Sheet5!A46:J369,9,0)</f>
        <v>8G</v>
      </c>
      <c r="N46" s="27" t="str">
        <f>VLOOKUP(B46,Sheet5!A46:J369,10,0)</f>
        <v>500G</v>
      </c>
    </row>
    <row r="47" spans="1:14" x14ac:dyDescent="0.2">
      <c r="A47" s="14" t="s">
        <v>48</v>
      </c>
      <c r="B47" s="14" t="s">
        <v>49</v>
      </c>
      <c r="C47" s="14">
        <v>5996</v>
      </c>
      <c r="D47" s="14" t="s">
        <v>689</v>
      </c>
      <c r="E47" s="14" t="s">
        <v>1200</v>
      </c>
      <c r="F47" s="27" t="str">
        <f>VLOOKUP(B47,Sheet5!A47:J370,2,0)</f>
        <v>笔记本电脑</v>
      </c>
      <c r="G47" s="27" t="str">
        <f>VLOOKUP(B47,Sheet5!A47:J370,3,0)</f>
        <v>ThinkPad</v>
      </c>
      <c r="H47" s="27" t="str">
        <f>VLOOKUP(B47,Sheet5!A47:J370,4,0)</f>
        <v>X220</v>
      </c>
      <c r="I47" s="27" t="str">
        <f>VLOOKUP(B47,Sheet5!A47:J370,5,0)</f>
        <v>110.00</v>
      </c>
      <c r="J47" s="27" t="str">
        <f>VLOOKUP(B47,Sheet5!A47:J370,6,0)</f>
        <v>2018/02/14</v>
      </c>
      <c r="K47" s="27" t="str">
        <f>VLOOKUP(B47,Sheet5!A47:J370,7,0)</f>
        <v>易点租</v>
      </c>
      <c r="L47" s="27" t="str">
        <f>VLOOKUP(B47,Sheet5!A47:J370,8,0)</f>
        <v>i5</v>
      </c>
      <c r="M47" s="27" t="str">
        <f>VLOOKUP(B47,Sheet5!A47:J370,9,0)</f>
        <v>8G</v>
      </c>
      <c r="N47" s="27" t="str">
        <f>VLOOKUP(B47,Sheet5!A47:J370,10,0)</f>
        <v>500G</v>
      </c>
    </row>
    <row r="48" spans="1:14" x14ac:dyDescent="0.2">
      <c r="A48" s="14" t="s">
        <v>50</v>
      </c>
      <c r="B48" s="14" t="s">
        <v>539</v>
      </c>
      <c r="C48" s="14">
        <v>15267</v>
      </c>
      <c r="D48" s="14" t="s">
        <v>689</v>
      </c>
      <c r="E48" s="14" t="s">
        <v>1200</v>
      </c>
      <c r="F48" s="27" t="str">
        <f>VLOOKUP(B48,Sheet5!A48:J371,2,0)</f>
        <v>笔记本电脑</v>
      </c>
      <c r="G48" s="27" t="str">
        <f>VLOOKUP(B48,Sheet5!A48:J371,3,0)</f>
        <v>ThinkPad</v>
      </c>
      <c r="H48" s="27" t="str">
        <f>VLOOKUP(B48,Sheet5!A48:J371,4,0)</f>
        <v>X220</v>
      </c>
      <c r="I48" s="27" t="str">
        <f>VLOOKUP(B48,Sheet5!A48:J371,5,0)</f>
        <v>110.00</v>
      </c>
      <c r="J48" s="27" t="str">
        <f>VLOOKUP(B48,Sheet5!A48:J371,6,0)</f>
        <v>2018/02/18</v>
      </c>
      <c r="K48" s="27" t="str">
        <f>VLOOKUP(B48,Sheet5!A48:J371,7,0)</f>
        <v>易点租</v>
      </c>
      <c r="L48" s="27" t="str">
        <f>VLOOKUP(B48,Sheet5!A48:J371,8,0)</f>
        <v>i5</v>
      </c>
      <c r="M48" s="27" t="str">
        <f>VLOOKUP(B48,Sheet5!A48:J371,9,0)</f>
        <v>8G</v>
      </c>
      <c r="N48" s="27" t="str">
        <f>VLOOKUP(B48,Sheet5!A48:J371,10,0)</f>
        <v>500G</v>
      </c>
    </row>
    <row r="49" spans="1:14" x14ac:dyDescent="0.2">
      <c r="A49" s="14" t="s">
        <v>51</v>
      </c>
      <c r="B49" s="14" t="s">
        <v>52</v>
      </c>
      <c r="C49" s="14">
        <v>10530</v>
      </c>
      <c r="D49" s="14" t="s">
        <v>689</v>
      </c>
      <c r="E49" s="14" t="s">
        <v>1200</v>
      </c>
      <c r="F49" s="27" t="str">
        <f>VLOOKUP(B49,Sheet5!A49:J372,2,0)</f>
        <v>笔记本电脑</v>
      </c>
      <c r="G49" s="27" t="str">
        <f>VLOOKUP(B49,Sheet5!A49:J372,3,0)</f>
        <v>ThinkPad</v>
      </c>
      <c r="H49" s="27" t="str">
        <f>VLOOKUP(B49,Sheet5!A49:J372,4,0)</f>
        <v>T440</v>
      </c>
      <c r="I49" s="27" t="str">
        <f>VLOOKUP(B49,Sheet5!A49:J372,5,0)</f>
        <v>115.00</v>
      </c>
      <c r="J49" s="27" t="str">
        <f>VLOOKUP(B49,Sheet5!A49:J372,6,0)</f>
        <v>2017/12/18</v>
      </c>
      <c r="K49" s="27" t="str">
        <f>VLOOKUP(B49,Sheet5!A49:J372,7,0)</f>
        <v>易点租</v>
      </c>
      <c r="L49" s="27" t="str">
        <f>VLOOKUP(B49,Sheet5!A49:J372,8,0)</f>
        <v/>
      </c>
      <c r="M49" s="27" t="str">
        <f>VLOOKUP(B49,Sheet5!A49:J372,9,0)</f>
        <v/>
      </c>
      <c r="N49" s="27" t="str">
        <f>VLOOKUP(B49,Sheet5!A49:J372,10,0)</f>
        <v/>
      </c>
    </row>
    <row r="50" spans="1:14" x14ac:dyDescent="0.2">
      <c r="A50" s="14" t="s">
        <v>53</v>
      </c>
      <c r="B50" s="14" t="s">
        <v>54</v>
      </c>
      <c r="C50" s="14">
        <v>6910</v>
      </c>
      <c r="D50" s="14" t="s">
        <v>689</v>
      </c>
      <c r="E50" s="14" t="s">
        <v>1200</v>
      </c>
      <c r="F50" s="27" t="str">
        <f>VLOOKUP(B50,Sheet5!A50:J373,2,0)</f>
        <v>笔记本电脑</v>
      </c>
      <c r="G50" s="27" t="str">
        <f>VLOOKUP(B50,Sheet5!A50:J373,3,0)</f>
        <v>ThinkPad</v>
      </c>
      <c r="H50" s="27" t="str">
        <f>VLOOKUP(B50,Sheet5!A50:J373,4,0)</f>
        <v>X220</v>
      </c>
      <c r="I50" s="27" t="str">
        <f>VLOOKUP(B50,Sheet5!A50:J373,5,0)</f>
        <v>85.00</v>
      </c>
      <c r="J50" s="27" t="str">
        <f>VLOOKUP(B50,Sheet5!A50:J373,6,0)</f>
        <v>2017/11/20</v>
      </c>
      <c r="K50" s="27" t="str">
        <f>VLOOKUP(B50,Sheet5!A50:J373,7,0)</f>
        <v>易点租</v>
      </c>
      <c r="L50" s="27" t="str">
        <f>VLOOKUP(B50,Sheet5!A50:J373,8,0)</f>
        <v>i5</v>
      </c>
      <c r="M50" s="27" t="str">
        <f>VLOOKUP(B50,Sheet5!A50:J373,9,0)</f>
        <v>4G</v>
      </c>
      <c r="N50" s="27" t="str">
        <f>VLOOKUP(B50,Sheet5!A50:J373,10,0)</f>
        <v>320G</v>
      </c>
    </row>
    <row r="51" spans="1:14" x14ac:dyDescent="0.2">
      <c r="A51" s="14" t="s">
        <v>55</v>
      </c>
      <c r="B51" s="14" t="s">
        <v>56</v>
      </c>
      <c r="C51" s="14">
        <v>18410</v>
      </c>
      <c r="D51" s="14" t="s">
        <v>689</v>
      </c>
      <c r="E51" s="14" t="s">
        <v>1200</v>
      </c>
      <c r="F51" s="27" t="e">
        <f>VLOOKUP(B51,Sheet5!A51:J374,2,0)</f>
        <v>#N/A</v>
      </c>
      <c r="G51" s="27" t="e">
        <f>VLOOKUP(B51,Sheet5!A51:J374,3,0)</f>
        <v>#N/A</v>
      </c>
      <c r="H51" s="27" t="e">
        <f>VLOOKUP(B51,Sheet5!A51:J374,4,0)</f>
        <v>#N/A</v>
      </c>
      <c r="I51" s="27" t="e">
        <f>VLOOKUP(B51,Sheet5!A51:J374,5,0)</f>
        <v>#N/A</v>
      </c>
      <c r="J51" s="27" t="e">
        <f>VLOOKUP(B51,Sheet5!A51:J374,6,0)</f>
        <v>#N/A</v>
      </c>
      <c r="K51" s="27" t="e">
        <f>VLOOKUP(B51,Sheet5!A51:J374,7,0)</f>
        <v>#N/A</v>
      </c>
      <c r="L51" s="27" t="e">
        <f>VLOOKUP(B51,Sheet5!A51:J374,8,0)</f>
        <v>#N/A</v>
      </c>
      <c r="M51" s="27" t="e">
        <f>VLOOKUP(B51,Sheet5!A51:J374,9,0)</f>
        <v>#N/A</v>
      </c>
      <c r="N51" s="27" t="e">
        <f>VLOOKUP(B51,Sheet5!A51:J374,10,0)</f>
        <v>#N/A</v>
      </c>
    </row>
    <row r="52" spans="1:14" x14ac:dyDescent="0.2">
      <c r="A52" s="14" t="s">
        <v>57</v>
      </c>
      <c r="B52" s="14" t="s">
        <v>540</v>
      </c>
      <c r="C52" s="14">
        <v>2621</v>
      </c>
      <c r="D52" s="14" t="s">
        <v>689</v>
      </c>
      <c r="E52" s="14" t="s">
        <v>1200</v>
      </c>
      <c r="F52" s="27" t="str">
        <f>VLOOKUP(B52,Sheet5!A52:J375,2,0)</f>
        <v>笔记本电脑</v>
      </c>
      <c r="G52" s="27" t="str">
        <f>VLOOKUP(B52,Sheet5!A52:J375,3,0)</f>
        <v>ThinkPad</v>
      </c>
      <c r="H52" s="27" t="str">
        <f>VLOOKUP(B52,Sheet5!A52:J375,4,0)</f>
        <v>X230</v>
      </c>
      <c r="I52" s="27" t="str">
        <f>VLOOKUP(B52,Sheet5!A52:J375,5,0)</f>
        <v>95.00</v>
      </c>
      <c r="J52" s="27" t="str">
        <f>VLOOKUP(B52,Sheet5!A52:J375,6,0)</f>
        <v>2018/11/20</v>
      </c>
      <c r="K52" s="27" t="str">
        <f>VLOOKUP(B52,Sheet5!A52:J375,7,0)</f>
        <v>易点租</v>
      </c>
      <c r="L52" s="27" t="str">
        <f>VLOOKUP(B52,Sheet5!A52:J375,8,0)</f>
        <v>i5</v>
      </c>
      <c r="M52" s="27" t="str">
        <f>VLOOKUP(B52,Sheet5!A52:J375,9,0)</f>
        <v>8G</v>
      </c>
      <c r="N52" s="27" t="str">
        <f>VLOOKUP(B52,Sheet5!A52:J375,10,0)</f>
        <v>500G</v>
      </c>
    </row>
    <row r="53" spans="1:14" x14ac:dyDescent="0.2">
      <c r="A53" s="14" t="s">
        <v>58</v>
      </c>
      <c r="B53" s="14" t="s">
        <v>541</v>
      </c>
      <c r="C53" s="14">
        <v>2972</v>
      </c>
      <c r="D53" s="14" t="s">
        <v>689</v>
      </c>
      <c r="E53" s="14" t="s">
        <v>1200</v>
      </c>
      <c r="F53" s="27" t="str">
        <f>VLOOKUP(B53,Sheet5!A53:J376,2,0)</f>
        <v>笔记本电脑</v>
      </c>
      <c r="G53" s="27" t="str">
        <f>VLOOKUP(B53,Sheet5!A53:J376,3,0)</f>
        <v>ThinkPad</v>
      </c>
      <c r="H53" s="27" t="str">
        <f>VLOOKUP(B53,Sheet5!A53:J376,4,0)</f>
        <v>X230</v>
      </c>
      <c r="I53" s="27" t="str">
        <f>VLOOKUP(B53,Sheet5!A53:J376,5,0)</f>
        <v>110.00</v>
      </c>
      <c r="J53" s="27" t="str">
        <f>VLOOKUP(B53,Sheet5!A53:J376,6,0)</f>
        <v>2017/11/08</v>
      </c>
      <c r="K53" s="27" t="str">
        <f>VLOOKUP(B53,Sheet5!A53:J376,7,0)</f>
        <v>易点租</v>
      </c>
      <c r="L53" s="27" t="str">
        <f>VLOOKUP(B53,Sheet5!A53:J376,8,0)</f>
        <v>i5</v>
      </c>
      <c r="M53" s="27" t="str">
        <f>VLOOKUP(B53,Sheet5!A53:J376,9,0)</f>
        <v>8G</v>
      </c>
      <c r="N53" s="27" t="str">
        <f>VLOOKUP(B53,Sheet5!A53:J376,10,0)</f>
        <v>500G</v>
      </c>
    </row>
    <row r="54" spans="1:14" x14ac:dyDescent="0.2">
      <c r="A54" s="14" t="s">
        <v>59</v>
      </c>
      <c r="B54" s="14" t="s">
        <v>542</v>
      </c>
      <c r="C54" s="14">
        <v>5966</v>
      </c>
      <c r="D54" s="14" t="s">
        <v>689</v>
      </c>
      <c r="E54" s="14" t="s">
        <v>1200</v>
      </c>
      <c r="F54" s="27" t="str">
        <f>VLOOKUP(B54,Sheet5!A54:J377,2,0)</f>
        <v>笔记本电脑</v>
      </c>
      <c r="G54" s="27" t="str">
        <f>VLOOKUP(B54,Sheet5!A54:J377,3,0)</f>
        <v>ThinkPad</v>
      </c>
      <c r="H54" s="27" t="str">
        <f>VLOOKUP(B54,Sheet5!A54:J377,4,0)</f>
        <v>X220</v>
      </c>
      <c r="I54" s="27" t="str">
        <f>VLOOKUP(B54,Sheet5!A54:J377,5,0)</f>
        <v>110.00</v>
      </c>
      <c r="J54" s="27" t="str">
        <f>VLOOKUP(B54,Sheet5!A54:J377,6,0)</f>
        <v>2018/01/24</v>
      </c>
      <c r="K54" s="27" t="str">
        <f>VLOOKUP(B54,Sheet5!A54:J377,7,0)</f>
        <v>易点租</v>
      </c>
      <c r="L54" s="27" t="str">
        <f>VLOOKUP(B54,Sheet5!A54:J377,8,0)</f>
        <v>i5</v>
      </c>
      <c r="M54" s="27" t="str">
        <f>VLOOKUP(B54,Sheet5!A54:J377,9,0)</f>
        <v>8G</v>
      </c>
      <c r="N54" s="27" t="str">
        <f>VLOOKUP(B54,Sheet5!A54:J377,10,0)</f>
        <v>500G</v>
      </c>
    </row>
    <row r="55" spans="1:14" x14ac:dyDescent="0.2">
      <c r="A55" s="14" t="s">
        <v>60</v>
      </c>
      <c r="B55" s="14" t="s">
        <v>61</v>
      </c>
      <c r="C55" s="14">
        <v>13734</v>
      </c>
      <c r="D55" s="14" t="s">
        <v>689</v>
      </c>
      <c r="E55" s="14" t="s">
        <v>1200</v>
      </c>
      <c r="F55" s="27" t="str">
        <f>VLOOKUP(B55,Sheet5!A55:J378,2,0)</f>
        <v>笔记本电脑</v>
      </c>
      <c r="G55" s="27" t="str">
        <f>VLOOKUP(B55,Sheet5!A55:J378,3,0)</f>
        <v>ThinkPad</v>
      </c>
      <c r="H55" s="27" t="str">
        <f>VLOOKUP(B55,Sheet5!A55:J378,4,0)</f>
        <v>X220</v>
      </c>
      <c r="I55" s="27" t="str">
        <f>VLOOKUP(B55,Sheet5!A55:J378,5,0)</f>
        <v>110.00</v>
      </c>
      <c r="J55" s="27" t="str">
        <f>VLOOKUP(B55,Sheet5!A55:J378,6,0)</f>
        <v>2018/02/28</v>
      </c>
      <c r="K55" s="27" t="str">
        <f>VLOOKUP(B55,Sheet5!A55:J378,7,0)</f>
        <v>易点租</v>
      </c>
      <c r="L55" s="27" t="str">
        <f>VLOOKUP(B55,Sheet5!A55:J378,8,0)</f>
        <v>i5</v>
      </c>
      <c r="M55" s="27" t="str">
        <f>VLOOKUP(B55,Sheet5!A55:J378,9,0)</f>
        <v>8G</v>
      </c>
      <c r="N55" s="27" t="str">
        <f>VLOOKUP(B55,Sheet5!A55:J378,10,0)</f>
        <v>500G</v>
      </c>
    </row>
    <row r="56" spans="1:14" x14ac:dyDescent="0.2">
      <c r="A56" s="14" t="s">
        <v>62</v>
      </c>
      <c r="B56" s="14" t="s">
        <v>543</v>
      </c>
      <c r="C56" s="14">
        <v>1475</v>
      </c>
      <c r="D56" s="14" t="s">
        <v>689</v>
      </c>
      <c r="E56" s="14" t="s">
        <v>1200</v>
      </c>
      <c r="F56" s="27" t="str">
        <f>VLOOKUP(B56,Sheet5!A56:J379,2,0)</f>
        <v>笔记本电脑</v>
      </c>
      <c r="G56" s="27" t="str">
        <f>VLOOKUP(B56,Sheet5!A56:J379,3,0)</f>
        <v>ThinkPad</v>
      </c>
      <c r="H56" s="27" t="str">
        <f>VLOOKUP(B56,Sheet5!A56:J379,4,0)</f>
        <v>T440</v>
      </c>
      <c r="I56" s="27" t="str">
        <f>VLOOKUP(B56,Sheet5!A56:J379,5,0)</f>
        <v>115.00</v>
      </c>
      <c r="J56" s="27" t="str">
        <f>VLOOKUP(B56,Sheet5!A56:J379,6,0)</f>
        <v>2018/03/26</v>
      </c>
      <c r="K56" s="27" t="str">
        <f>VLOOKUP(B56,Sheet5!A56:J379,7,0)</f>
        <v>易点租</v>
      </c>
      <c r="L56" s="27" t="str">
        <f>VLOOKUP(B56,Sheet5!A56:J379,8,0)</f>
        <v/>
      </c>
      <c r="M56" s="27" t="str">
        <f>VLOOKUP(B56,Sheet5!A56:J379,9,0)</f>
        <v/>
      </c>
      <c r="N56" s="27" t="str">
        <f>VLOOKUP(B56,Sheet5!A56:J379,10,0)</f>
        <v/>
      </c>
    </row>
    <row r="57" spans="1:14" x14ac:dyDescent="0.2">
      <c r="A57" s="14" t="s">
        <v>63</v>
      </c>
      <c r="B57" s="14" t="s">
        <v>544</v>
      </c>
      <c r="C57" s="14">
        <v>3900</v>
      </c>
      <c r="D57" s="14" t="s">
        <v>689</v>
      </c>
      <c r="E57" s="14" t="s">
        <v>1200</v>
      </c>
      <c r="F57" s="27" t="str">
        <f>VLOOKUP(B57,Sheet5!A57:J380,2,0)</f>
        <v>笔记本电脑</v>
      </c>
      <c r="G57" s="27" t="str">
        <f>VLOOKUP(B57,Sheet5!A57:J380,3,0)</f>
        <v>ThinkPad</v>
      </c>
      <c r="H57" s="27" t="str">
        <f>VLOOKUP(B57,Sheet5!A57:J380,4,0)</f>
        <v>X240</v>
      </c>
      <c r="I57" s="27" t="str">
        <f>VLOOKUP(B57,Sheet5!A57:J380,5,0)</f>
        <v>115.00</v>
      </c>
      <c r="J57" s="27" t="str">
        <f>VLOOKUP(B57,Sheet5!A57:J380,6,0)</f>
        <v>2018/04/21</v>
      </c>
      <c r="K57" s="27" t="str">
        <f>VLOOKUP(B57,Sheet5!A57:J380,7,0)</f>
        <v>易点租</v>
      </c>
      <c r="L57" s="27" t="str">
        <f>VLOOKUP(B57,Sheet5!A57:J380,8,0)</f>
        <v>i5</v>
      </c>
      <c r="M57" s="27" t="str">
        <f>VLOOKUP(B57,Sheet5!A57:J380,9,0)</f>
        <v>8G</v>
      </c>
      <c r="N57" s="27" t="str">
        <f>VLOOKUP(B57,Sheet5!A57:J380,10,0)</f>
        <v>500G</v>
      </c>
    </row>
    <row r="58" spans="1:14" x14ac:dyDescent="0.2">
      <c r="A58" s="14" t="s">
        <v>64</v>
      </c>
      <c r="B58" s="14" t="s">
        <v>545</v>
      </c>
      <c r="C58" s="14">
        <v>3723</v>
      </c>
      <c r="D58" s="14" t="s">
        <v>689</v>
      </c>
      <c r="E58" s="14" t="s">
        <v>1200</v>
      </c>
      <c r="F58" s="27" t="str">
        <f>VLOOKUP(B58,Sheet5!A58:J381,2,0)</f>
        <v>笔记本电脑</v>
      </c>
      <c r="G58" s="27" t="str">
        <f>VLOOKUP(B58,Sheet5!A58:J381,3,0)</f>
        <v>ThinkPad</v>
      </c>
      <c r="H58" s="27" t="str">
        <f>VLOOKUP(B58,Sheet5!A58:J381,4,0)</f>
        <v>X220</v>
      </c>
      <c r="I58" s="27" t="str">
        <f>VLOOKUP(B58,Sheet5!A58:J381,5,0)</f>
        <v>110.00</v>
      </c>
      <c r="J58" s="27" t="str">
        <f>VLOOKUP(B58,Sheet5!A58:J381,6,0)</f>
        <v>2018/03/25</v>
      </c>
      <c r="K58" s="27" t="str">
        <f>VLOOKUP(B58,Sheet5!A58:J381,7,0)</f>
        <v>易点租</v>
      </c>
      <c r="L58" s="27" t="str">
        <f>VLOOKUP(B58,Sheet5!A58:J381,8,0)</f>
        <v>i5</v>
      </c>
      <c r="M58" s="27" t="str">
        <f>VLOOKUP(B58,Sheet5!A58:J381,9,0)</f>
        <v>8G</v>
      </c>
      <c r="N58" s="27" t="str">
        <f>VLOOKUP(B58,Sheet5!A58:J381,10,0)</f>
        <v>500G</v>
      </c>
    </row>
    <row r="59" spans="1:14" x14ac:dyDescent="0.2">
      <c r="A59" s="14" t="s">
        <v>65</v>
      </c>
      <c r="B59" s="14" t="s">
        <v>546</v>
      </c>
      <c r="C59" s="14">
        <v>7638</v>
      </c>
      <c r="D59" s="14" t="s">
        <v>689</v>
      </c>
      <c r="E59" s="14" t="s">
        <v>1200</v>
      </c>
      <c r="F59" s="27" t="str">
        <f>VLOOKUP(B59,Sheet5!A59:J382,2,0)</f>
        <v>笔记本电脑</v>
      </c>
      <c r="G59" s="27" t="str">
        <f>VLOOKUP(B59,Sheet5!A59:J382,3,0)</f>
        <v>ThinkPad</v>
      </c>
      <c r="H59" s="27" t="str">
        <f>VLOOKUP(B59,Sheet5!A59:J382,4,0)</f>
        <v>X240</v>
      </c>
      <c r="I59" s="27" t="str">
        <f>VLOOKUP(B59,Sheet5!A59:J382,5,0)</f>
        <v>115.00</v>
      </c>
      <c r="J59" s="27" t="str">
        <f>VLOOKUP(B59,Sheet5!A59:J382,6,0)</f>
        <v>2018/03/28</v>
      </c>
      <c r="K59" s="27" t="str">
        <f>VLOOKUP(B59,Sheet5!A59:J382,7,0)</f>
        <v>易点租</v>
      </c>
      <c r="L59" s="27" t="str">
        <f>VLOOKUP(B59,Sheet5!A59:J382,8,0)</f>
        <v>i5</v>
      </c>
      <c r="M59" s="27" t="str">
        <f>VLOOKUP(B59,Sheet5!A59:J382,9,0)</f>
        <v>8G</v>
      </c>
      <c r="N59" s="27" t="str">
        <f>VLOOKUP(B59,Sheet5!A59:J382,10,0)</f>
        <v>500G</v>
      </c>
    </row>
    <row r="60" spans="1:14" x14ac:dyDescent="0.2">
      <c r="A60" s="14" t="s">
        <v>66</v>
      </c>
      <c r="B60" s="14" t="s">
        <v>547</v>
      </c>
      <c r="C60" s="14">
        <v>14489</v>
      </c>
      <c r="D60" s="14" t="s">
        <v>689</v>
      </c>
      <c r="E60" s="14" t="s">
        <v>1200</v>
      </c>
      <c r="F60" s="27" t="str">
        <f>VLOOKUP(B60,Sheet5!A60:J383,2,0)</f>
        <v>笔记本电脑</v>
      </c>
      <c r="G60" s="27" t="str">
        <f>VLOOKUP(B60,Sheet5!A60:J383,3,0)</f>
        <v>ThinkPad</v>
      </c>
      <c r="H60" s="27" t="str">
        <f>VLOOKUP(B60,Sheet5!A60:J383,4,0)</f>
        <v>X201</v>
      </c>
      <c r="I60" s="27" t="str">
        <f>VLOOKUP(B60,Sheet5!A60:J383,5,0)</f>
        <v>70.00</v>
      </c>
      <c r="J60" s="27" t="str">
        <f>VLOOKUP(B60,Sheet5!A60:J383,6,0)</f>
        <v>2018/05/03</v>
      </c>
      <c r="K60" s="27" t="str">
        <f>VLOOKUP(B60,Sheet5!A60:J383,7,0)</f>
        <v>易点租</v>
      </c>
      <c r="L60" s="27" t="str">
        <f>VLOOKUP(B60,Sheet5!A60:J383,8,0)</f>
        <v>i5</v>
      </c>
      <c r="M60" s="27" t="str">
        <f>VLOOKUP(B60,Sheet5!A60:J383,9,0)</f>
        <v>4G</v>
      </c>
      <c r="N60" s="27" t="str">
        <f>VLOOKUP(B60,Sheet5!A60:J383,10,0)</f>
        <v>120G SSD</v>
      </c>
    </row>
    <row r="61" spans="1:14" x14ac:dyDescent="0.2">
      <c r="A61" s="14" t="s">
        <v>67</v>
      </c>
      <c r="B61" s="14" t="s">
        <v>548</v>
      </c>
      <c r="C61" s="14">
        <v>8061</v>
      </c>
      <c r="D61" s="14" t="s">
        <v>689</v>
      </c>
      <c r="E61" s="14" t="s">
        <v>1200</v>
      </c>
      <c r="F61" s="27" t="str">
        <f>VLOOKUP(B61,Sheet5!A61:J384,2,0)</f>
        <v>笔记本电脑</v>
      </c>
      <c r="G61" s="27" t="str">
        <f>VLOOKUP(B61,Sheet5!A61:J384,3,0)</f>
        <v>ThinkPad</v>
      </c>
      <c r="H61" s="27" t="str">
        <f>VLOOKUP(B61,Sheet5!A61:J384,4,0)</f>
        <v>X220</v>
      </c>
      <c r="I61" s="27" t="str">
        <f>VLOOKUP(B61,Sheet5!A61:J384,5,0)</f>
        <v>110.00</v>
      </c>
      <c r="J61" s="27" t="str">
        <f>VLOOKUP(B61,Sheet5!A61:J384,6,0)</f>
        <v>2018/02/09</v>
      </c>
      <c r="K61" s="27" t="str">
        <f>VLOOKUP(B61,Sheet5!A61:J384,7,0)</f>
        <v>易点租</v>
      </c>
      <c r="L61" s="27" t="str">
        <f>VLOOKUP(B61,Sheet5!A61:J384,8,0)</f>
        <v>i5</v>
      </c>
      <c r="M61" s="27" t="str">
        <f>VLOOKUP(B61,Sheet5!A61:J384,9,0)</f>
        <v>8G</v>
      </c>
      <c r="N61" s="27" t="str">
        <f>VLOOKUP(B61,Sheet5!A61:J384,10,0)</f>
        <v>500G</v>
      </c>
    </row>
    <row r="62" spans="1:14" x14ac:dyDescent="0.2">
      <c r="A62" s="14" t="s">
        <v>68</v>
      </c>
      <c r="B62" s="14" t="s">
        <v>549</v>
      </c>
      <c r="C62" s="14">
        <v>12815</v>
      </c>
      <c r="D62" s="14" t="s">
        <v>689</v>
      </c>
      <c r="E62" s="14" t="s">
        <v>1200</v>
      </c>
      <c r="F62" s="27" t="str">
        <f>VLOOKUP(B62,Sheet5!A62:J385,2,0)</f>
        <v>笔记本电脑</v>
      </c>
      <c r="G62" s="27" t="str">
        <f>VLOOKUP(B62,Sheet5!A62:J385,3,0)</f>
        <v>ThinkPad</v>
      </c>
      <c r="H62" s="27" t="str">
        <f>VLOOKUP(B62,Sheet5!A62:J385,4,0)</f>
        <v>T440</v>
      </c>
      <c r="I62" s="27" t="str">
        <f>VLOOKUP(B62,Sheet5!A62:J385,5,0)</f>
        <v>115.00</v>
      </c>
      <c r="J62" s="27" t="str">
        <f>VLOOKUP(B62,Sheet5!A62:J385,6,0)</f>
        <v>2018/03/26</v>
      </c>
      <c r="K62" s="27" t="str">
        <f>VLOOKUP(B62,Sheet5!A62:J385,7,0)</f>
        <v>易点租</v>
      </c>
      <c r="L62" s="27" t="str">
        <f>VLOOKUP(B62,Sheet5!A62:J385,8,0)</f>
        <v/>
      </c>
      <c r="M62" s="27" t="str">
        <f>VLOOKUP(B62,Sheet5!A62:J385,9,0)</f>
        <v/>
      </c>
      <c r="N62" s="27" t="str">
        <f>VLOOKUP(B62,Sheet5!A62:J385,10,0)</f>
        <v/>
      </c>
    </row>
    <row r="63" spans="1:14" x14ac:dyDescent="0.2">
      <c r="A63" s="14" t="s">
        <v>69</v>
      </c>
      <c r="B63" s="14" t="s">
        <v>550</v>
      </c>
      <c r="C63" s="14">
        <v>6281</v>
      </c>
      <c r="D63" s="14" t="s">
        <v>689</v>
      </c>
      <c r="E63" s="14" t="s">
        <v>1200</v>
      </c>
      <c r="F63" s="27" t="str">
        <f>VLOOKUP(B63,Sheet5!A63:J386,2,0)</f>
        <v>笔记本电脑</v>
      </c>
      <c r="G63" s="27" t="str">
        <f>VLOOKUP(B63,Sheet5!A63:J386,3,0)</f>
        <v>ThinkPad</v>
      </c>
      <c r="H63" s="27" t="str">
        <f>VLOOKUP(B63,Sheet5!A63:J386,4,0)</f>
        <v>X220</v>
      </c>
      <c r="I63" s="27" t="str">
        <f>VLOOKUP(B63,Sheet5!A63:J386,5,0)</f>
        <v>110.00</v>
      </c>
      <c r="J63" s="27" t="str">
        <f>VLOOKUP(B63,Sheet5!A63:J386,6,0)</f>
        <v>2018/02/14</v>
      </c>
      <c r="K63" s="27" t="str">
        <f>VLOOKUP(B63,Sheet5!A63:J386,7,0)</f>
        <v>易点租</v>
      </c>
      <c r="L63" s="27" t="str">
        <f>VLOOKUP(B63,Sheet5!A63:J386,8,0)</f>
        <v>i5</v>
      </c>
      <c r="M63" s="27" t="str">
        <f>VLOOKUP(B63,Sheet5!A63:J386,9,0)</f>
        <v>8G</v>
      </c>
      <c r="N63" s="27" t="str">
        <f>VLOOKUP(B63,Sheet5!A63:J386,10,0)</f>
        <v>500G</v>
      </c>
    </row>
    <row r="64" spans="1:14" x14ac:dyDescent="0.2">
      <c r="A64" s="14" t="s">
        <v>70</v>
      </c>
      <c r="B64" s="14" t="s">
        <v>551</v>
      </c>
      <c r="C64" s="14">
        <v>2751</v>
      </c>
      <c r="D64" s="14" t="s">
        <v>689</v>
      </c>
      <c r="E64" s="14" t="s">
        <v>1200</v>
      </c>
      <c r="F64" s="27" t="str">
        <f>VLOOKUP(B64,Sheet5!A64:J387,2,0)</f>
        <v>笔记本电脑</v>
      </c>
      <c r="G64" s="27" t="str">
        <f>VLOOKUP(B64,Sheet5!A64:J387,3,0)</f>
        <v>ThinkPad</v>
      </c>
      <c r="H64" s="27" t="str">
        <f>VLOOKUP(B64,Sheet5!A64:J387,4,0)</f>
        <v>X220</v>
      </c>
      <c r="I64" s="27" t="str">
        <f>VLOOKUP(B64,Sheet5!A64:J387,5,0)</f>
        <v>110.00</v>
      </c>
      <c r="J64" s="27" t="str">
        <f>VLOOKUP(B64,Sheet5!A64:J387,6,0)</f>
        <v>2018/02/08</v>
      </c>
      <c r="K64" s="27" t="str">
        <f>VLOOKUP(B64,Sheet5!A64:J387,7,0)</f>
        <v>易点租</v>
      </c>
      <c r="L64" s="27" t="str">
        <f>VLOOKUP(B64,Sheet5!A64:J387,8,0)</f>
        <v>i5</v>
      </c>
      <c r="M64" s="27" t="str">
        <f>VLOOKUP(B64,Sheet5!A64:J387,9,0)</f>
        <v>8G</v>
      </c>
      <c r="N64" s="27" t="str">
        <f>VLOOKUP(B64,Sheet5!A64:J387,10,0)</f>
        <v>500G</v>
      </c>
    </row>
    <row r="65" spans="1:14" x14ac:dyDescent="0.2">
      <c r="A65" s="14" t="s">
        <v>71</v>
      </c>
      <c r="B65" s="14" t="s">
        <v>72</v>
      </c>
      <c r="C65" s="14">
        <v>9750</v>
      </c>
      <c r="D65" s="14" t="s">
        <v>689</v>
      </c>
      <c r="E65" s="14" t="s">
        <v>1200</v>
      </c>
      <c r="F65" s="27" t="str">
        <f>VLOOKUP(B65,Sheet5!A65:J388,2,0)</f>
        <v>台式机</v>
      </c>
      <c r="G65" s="27" t="str">
        <f>VLOOKUP(B65,Sheet5!A65:J388,3,0)</f>
        <v>联想/Lenovo</v>
      </c>
      <c r="H65" s="27" t="str">
        <f>VLOOKUP(B65,Sheet5!A65:J388,4,0)</f>
        <v>M710s</v>
      </c>
      <c r="I65" s="27" t="str">
        <f>VLOOKUP(B65,Sheet5!A65:J388,5,0)</f>
        <v>238.00</v>
      </c>
      <c r="J65" s="27" t="str">
        <f>VLOOKUP(B65,Sheet5!A65:J388,6,0)</f>
        <v>2017/12/04</v>
      </c>
      <c r="K65" s="27" t="str">
        <f>VLOOKUP(B65,Sheet5!A65:J388,7,0)</f>
        <v>易点租</v>
      </c>
      <c r="L65" s="27" t="str">
        <f>VLOOKUP(B65,Sheet5!A65:J388,8,0)</f>
        <v>i5</v>
      </c>
      <c r="M65" s="27" t="str">
        <f>VLOOKUP(B65,Sheet5!A65:J388,9,0)</f>
        <v>8G</v>
      </c>
      <c r="N65" s="27" t="str">
        <f>VLOOKUP(B65,Sheet5!A65:J388,10,0)</f>
        <v>256G SSD</v>
      </c>
    </row>
    <row r="66" spans="1:14" x14ac:dyDescent="0.2">
      <c r="A66" s="14" t="s">
        <v>73</v>
      </c>
      <c r="B66" s="14" t="s">
        <v>552</v>
      </c>
      <c r="C66" s="14">
        <v>2165</v>
      </c>
      <c r="D66" s="14" t="s">
        <v>689</v>
      </c>
      <c r="E66" s="14" t="s">
        <v>1200</v>
      </c>
      <c r="F66" s="27" t="e">
        <f>VLOOKUP(B66,Sheet5!A66:J389,2,0)</f>
        <v>#N/A</v>
      </c>
      <c r="G66" s="27" t="e">
        <f>VLOOKUP(B66,Sheet5!A66:J389,3,0)</f>
        <v>#N/A</v>
      </c>
      <c r="H66" s="27" t="e">
        <f>VLOOKUP(B66,Sheet5!A66:J389,4,0)</f>
        <v>#N/A</v>
      </c>
      <c r="I66" s="27" t="e">
        <f>VLOOKUP(B66,Sheet5!A66:J389,5,0)</f>
        <v>#N/A</v>
      </c>
      <c r="J66" s="27" t="e">
        <f>VLOOKUP(B66,Sheet5!A66:J389,6,0)</f>
        <v>#N/A</v>
      </c>
      <c r="K66" s="27" t="e">
        <f>VLOOKUP(B66,Sheet5!A66:J389,7,0)</f>
        <v>#N/A</v>
      </c>
      <c r="L66" s="27" t="e">
        <f>VLOOKUP(B66,Sheet5!A66:J389,8,0)</f>
        <v>#N/A</v>
      </c>
      <c r="M66" s="27" t="e">
        <f>VLOOKUP(B66,Sheet5!A66:J389,9,0)</f>
        <v>#N/A</v>
      </c>
      <c r="N66" s="27" t="e">
        <f>VLOOKUP(B66,Sheet5!A66:J389,10,0)</f>
        <v>#N/A</v>
      </c>
    </row>
    <row r="67" spans="1:14" x14ac:dyDescent="0.2">
      <c r="A67" s="14" t="s">
        <v>74</v>
      </c>
      <c r="B67" s="14" t="s">
        <v>553</v>
      </c>
      <c r="C67" s="14">
        <v>3562</v>
      </c>
      <c r="D67" s="14" t="s">
        <v>689</v>
      </c>
      <c r="E67" s="14" t="s">
        <v>1200</v>
      </c>
      <c r="F67" s="27" t="str">
        <f>VLOOKUP(B67,Sheet5!A67:J390,2,0)</f>
        <v>笔记本电脑</v>
      </c>
      <c r="G67" s="27" t="str">
        <f>VLOOKUP(B67,Sheet5!A67:J390,3,0)</f>
        <v>ThinkPad</v>
      </c>
      <c r="H67" s="27" t="str">
        <f>VLOOKUP(B67,Sheet5!A67:J390,4,0)</f>
        <v>X220</v>
      </c>
      <c r="I67" s="27" t="str">
        <f>VLOOKUP(B67,Sheet5!A67:J390,5,0)</f>
        <v>110.00</v>
      </c>
      <c r="J67" s="27" t="str">
        <f>VLOOKUP(B67,Sheet5!A67:J390,6,0)</f>
        <v>2018/01/24</v>
      </c>
      <c r="K67" s="27" t="str">
        <f>VLOOKUP(B67,Sheet5!A67:J390,7,0)</f>
        <v>易点租</v>
      </c>
      <c r="L67" s="27" t="str">
        <f>VLOOKUP(B67,Sheet5!A67:J390,8,0)</f>
        <v>i5</v>
      </c>
      <c r="M67" s="27" t="str">
        <f>VLOOKUP(B67,Sheet5!A67:J390,9,0)</f>
        <v>8G</v>
      </c>
      <c r="N67" s="27" t="str">
        <f>VLOOKUP(B67,Sheet5!A67:J390,10,0)</f>
        <v>500G</v>
      </c>
    </row>
    <row r="68" spans="1:14" x14ac:dyDescent="0.2">
      <c r="A68" s="14" t="s">
        <v>75</v>
      </c>
      <c r="B68" s="14" t="s">
        <v>554</v>
      </c>
      <c r="C68" s="14">
        <v>4221</v>
      </c>
      <c r="D68" s="14" t="s">
        <v>689</v>
      </c>
      <c r="E68" s="14" t="s">
        <v>1200</v>
      </c>
      <c r="F68" s="27" t="str">
        <f>VLOOKUP(B68,Sheet5!A68:J391,2,0)</f>
        <v>笔记本电脑</v>
      </c>
      <c r="G68" s="27" t="str">
        <f>VLOOKUP(B68,Sheet5!A68:J391,3,0)</f>
        <v>ThinkPad</v>
      </c>
      <c r="H68" s="27" t="str">
        <f>VLOOKUP(B68,Sheet5!A68:J391,4,0)</f>
        <v>X240</v>
      </c>
      <c r="I68" s="27" t="str">
        <f>VLOOKUP(B68,Sheet5!A68:J391,5,0)</f>
        <v>145.00</v>
      </c>
      <c r="J68" s="27" t="str">
        <f>VLOOKUP(B68,Sheet5!A68:J391,6,0)</f>
        <v>2018/03/04</v>
      </c>
      <c r="K68" s="27" t="str">
        <f>VLOOKUP(B68,Sheet5!A68:J391,7,0)</f>
        <v>易点租</v>
      </c>
      <c r="L68" s="27" t="str">
        <f>VLOOKUP(B68,Sheet5!A68:J391,8,0)</f>
        <v>i5</v>
      </c>
      <c r="M68" s="27" t="str">
        <f>VLOOKUP(B68,Sheet5!A68:J391,9,0)</f>
        <v>8G</v>
      </c>
      <c r="N68" s="27" t="str">
        <f>VLOOKUP(B68,Sheet5!A68:J391,10,0)</f>
        <v>500G</v>
      </c>
    </row>
    <row r="69" spans="1:14" x14ac:dyDescent="0.2">
      <c r="A69" s="14" t="s">
        <v>76</v>
      </c>
      <c r="B69" s="14" t="s">
        <v>77</v>
      </c>
      <c r="C69" s="14">
        <v>12836</v>
      </c>
      <c r="D69" s="14" t="s">
        <v>689</v>
      </c>
      <c r="E69" s="14" t="s">
        <v>1200</v>
      </c>
      <c r="F69" s="27" t="str">
        <f>VLOOKUP(B69,Sheet5!A69:J392,2,0)</f>
        <v>笔记本电脑</v>
      </c>
      <c r="G69" s="27" t="str">
        <f>VLOOKUP(B69,Sheet5!A69:J392,3,0)</f>
        <v>ThinkPad</v>
      </c>
      <c r="H69" s="27" t="str">
        <f>VLOOKUP(B69,Sheet5!A69:J392,4,0)</f>
        <v>X220</v>
      </c>
      <c r="I69" s="27" t="str">
        <f>VLOOKUP(B69,Sheet5!A69:J392,5,0)</f>
        <v>110.00</v>
      </c>
      <c r="J69" s="27" t="str">
        <f>VLOOKUP(B69,Sheet5!A69:J392,6,0)</f>
        <v>2018/02/25</v>
      </c>
      <c r="K69" s="27" t="str">
        <f>VLOOKUP(B69,Sheet5!A69:J392,7,0)</f>
        <v>易点租</v>
      </c>
      <c r="L69" s="27" t="str">
        <f>VLOOKUP(B69,Sheet5!A69:J392,8,0)</f>
        <v>i5</v>
      </c>
      <c r="M69" s="27" t="str">
        <f>VLOOKUP(B69,Sheet5!A69:J392,9,0)</f>
        <v>8G</v>
      </c>
      <c r="N69" s="27" t="str">
        <f>VLOOKUP(B69,Sheet5!A69:J392,10,0)</f>
        <v>500G</v>
      </c>
    </row>
    <row r="70" spans="1:14" x14ac:dyDescent="0.2">
      <c r="A70" s="14" t="s">
        <v>78</v>
      </c>
      <c r="B70" s="14" t="s">
        <v>555</v>
      </c>
      <c r="C70" s="14">
        <v>18431</v>
      </c>
      <c r="D70" s="14" t="s">
        <v>689</v>
      </c>
      <c r="E70" s="14" t="s">
        <v>1200</v>
      </c>
      <c r="F70" s="27" t="str">
        <f>VLOOKUP(B70,Sheet5!A70:J393,2,0)</f>
        <v>笔记本电脑</v>
      </c>
      <c r="G70" s="27" t="str">
        <f>VLOOKUP(B70,Sheet5!A70:J393,3,0)</f>
        <v>ThinkPad</v>
      </c>
      <c r="H70" s="27" t="str">
        <f>VLOOKUP(B70,Sheet5!A70:J393,4,0)</f>
        <v>X230</v>
      </c>
      <c r="I70" s="27" t="str">
        <f>VLOOKUP(B70,Sheet5!A70:J393,5,0)</f>
        <v>100.00</v>
      </c>
      <c r="J70" s="27" t="str">
        <f>VLOOKUP(B70,Sheet5!A70:J393,6,0)</f>
        <v>2018/02/27</v>
      </c>
      <c r="K70" s="27" t="str">
        <f>VLOOKUP(B70,Sheet5!A70:J393,7,0)</f>
        <v>易点租</v>
      </c>
      <c r="L70" s="27" t="str">
        <f>VLOOKUP(B70,Sheet5!A70:J393,8,0)</f>
        <v>i5</v>
      </c>
      <c r="M70" s="27" t="str">
        <f>VLOOKUP(B70,Sheet5!A70:J393,9,0)</f>
        <v>8G</v>
      </c>
      <c r="N70" s="27" t="str">
        <f>VLOOKUP(B70,Sheet5!A70:J393,10,0)</f>
        <v>500G</v>
      </c>
    </row>
    <row r="71" spans="1:14" x14ac:dyDescent="0.2">
      <c r="A71" s="14" t="s">
        <v>79</v>
      </c>
      <c r="B71" s="14" t="s">
        <v>80</v>
      </c>
      <c r="C71" s="14">
        <v>15547</v>
      </c>
      <c r="D71" s="14" t="s">
        <v>689</v>
      </c>
      <c r="E71" s="14" t="s">
        <v>1200</v>
      </c>
      <c r="F71" s="27" t="str">
        <f>VLOOKUP(B71,Sheet5!A71:J394,2,0)</f>
        <v>笔记本电脑</v>
      </c>
      <c r="G71" s="27" t="str">
        <f>VLOOKUP(B71,Sheet5!A71:J394,3,0)</f>
        <v>ThinkPad</v>
      </c>
      <c r="H71" s="27" t="str">
        <f>VLOOKUP(B71,Sheet5!A71:J394,4,0)</f>
        <v>X230</v>
      </c>
      <c r="I71" s="27" t="str">
        <f>VLOOKUP(B71,Sheet5!A71:J394,5,0)</f>
        <v>100.00</v>
      </c>
      <c r="J71" s="27" t="str">
        <f>VLOOKUP(B71,Sheet5!A71:J394,6,0)</f>
        <v>2018/01/01</v>
      </c>
      <c r="K71" s="27" t="str">
        <f>VLOOKUP(B71,Sheet5!A71:J394,7,0)</f>
        <v>易点租</v>
      </c>
      <c r="L71" s="27" t="str">
        <f>VLOOKUP(B71,Sheet5!A71:J394,8,0)</f>
        <v>i5</v>
      </c>
      <c r="M71" s="27" t="str">
        <f>VLOOKUP(B71,Sheet5!A71:J394,9,0)</f>
        <v>8G</v>
      </c>
      <c r="N71" s="27" t="str">
        <f>VLOOKUP(B71,Sheet5!A71:J394,10,0)</f>
        <v>500G</v>
      </c>
    </row>
    <row r="72" spans="1:14" x14ac:dyDescent="0.2">
      <c r="A72" s="14" t="s">
        <v>81</v>
      </c>
      <c r="B72" s="14" t="s">
        <v>556</v>
      </c>
      <c r="C72" s="14">
        <v>13514</v>
      </c>
      <c r="D72" s="14" t="s">
        <v>689</v>
      </c>
      <c r="E72" s="14" t="s">
        <v>1200</v>
      </c>
      <c r="F72" s="27" t="str">
        <f>VLOOKUP(B72,Sheet5!A72:J395,2,0)</f>
        <v>笔记本电脑</v>
      </c>
      <c r="G72" s="27" t="str">
        <f>VLOOKUP(B72,Sheet5!A72:J395,3,0)</f>
        <v>ThinkPad</v>
      </c>
      <c r="H72" s="27" t="str">
        <f>VLOOKUP(B72,Sheet5!A72:J395,4,0)</f>
        <v>X240</v>
      </c>
      <c r="I72" s="27" t="str">
        <f>VLOOKUP(B72,Sheet5!A72:J395,5,0)</f>
        <v>115.00</v>
      </c>
      <c r="J72" s="27" t="str">
        <f>VLOOKUP(B72,Sheet5!A72:J395,6,0)</f>
        <v>2018/03/28</v>
      </c>
      <c r="K72" s="27" t="str">
        <f>VLOOKUP(B72,Sheet5!A72:J395,7,0)</f>
        <v>易点租</v>
      </c>
      <c r="L72" s="27" t="str">
        <f>VLOOKUP(B72,Sheet5!A72:J395,8,0)</f>
        <v>i5</v>
      </c>
      <c r="M72" s="27" t="str">
        <f>VLOOKUP(B72,Sheet5!A72:J395,9,0)</f>
        <v>8G</v>
      </c>
      <c r="N72" s="27" t="str">
        <f>VLOOKUP(B72,Sheet5!A72:J395,10,0)</f>
        <v>500G</v>
      </c>
    </row>
    <row r="73" spans="1:14" x14ac:dyDescent="0.2">
      <c r="A73" s="14" t="s">
        <v>1195</v>
      </c>
      <c r="B73" s="14" t="s">
        <v>82</v>
      </c>
      <c r="C73" s="14">
        <v>8684</v>
      </c>
      <c r="D73" s="14" t="s">
        <v>689</v>
      </c>
      <c r="E73" s="14" t="s">
        <v>1200</v>
      </c>
      <c r="F73" s="27" t="str">
        <f>VLOOKUP(B73,Sheet5!A73:J396,2,0)</f>
        <v>笔记本电脑</v>
      </c>
      <c r="G73" s="27" t="str">
        <f>VLOOKUP(B73,Sheet5!A73:J396,3,0)</f>
        <v>ThinkPad</v>
      </c>
      <c r="H73" s="27" t="str">
        <f>VLOOKUP(B73,Sheet5!A73:J396,4,0)</f>
        <v>T440p</v>
      </c>
      <c r="I73" s="27" t="str">
        <f>VLOOKUP(B73,Sheet5!A73:J396,5,0)</f>
        <v>178.00</v>
      </c>
      <c r="J73" s="27" t="str">
        <f>VLOOKUP(B73,Sheet5!A73:J396,6,0)</f>
        <v>2017/11/20</v>
      </c>
      <c r="K73" s="27" t="str">
        <f>VLOOKUP(B73,Sheet5!A73:J396,7,0)</f>
        <v>易点租</v>
      </c>
      <c r="L73" s="27" t="str">
        <f>VLOOKUP(B73,Sheet5!A73:J396,8,0)</f>
        <v>i5</v>
      </c>
      <c r="M73" s="27" t="str">
        <f>VLOOKUP(B73,Sheet5!A73:J396,9,0)</f>
        <v>8G</v>
      </c>
      <c r="N73" s="27" t="str">
        <f>VLOOKUP(B73,Sheet5!A73:J396,10,0)</f>
        <v>500G</v>
      </c>
    </row>
    <row r="74" spans="1:14" x14ac:dyDescent="0.2">
      <c r="A74" s="14" t="s">
        <v>83</v>
      </c>
      <c r="B74" s="14" t="s">
        <v>84</v>
      </c>
      <c r="C74" s="14">
        <v>19532</v>
      </c>
      <c r="D74" s="14" t="s">
        <v>689</v>
      </c>
      <c r="E74" s="14" t="s">
        <v>1200</v>
      </c>
      <c r="F74" s="27" t="str">
        <f>VLOOKUP(B74,Sheet5!A74:J397,2,0)</f>
        <v>笔记本电脑</v>
      </c>
      <c r="G74" s="27" t="str">
        <f>VLOOKUP(B74,Sheet5!A74:J397,3,0)</f>
        <v>ThinkPad</v>
      </c>
      <c r="H74" s="27" t="str">
        <f>VLOOKUP(B74,Sheet5!A74:J397,4,0)</f>
        <v>W530</v>
      </c>
      <c r="I74" s="27" t="str">
        <f>VLOOKUP(B74,Sheet5!A74:J397,5,0)</f>
        <v>298.00</v>
      </c>
      <c r="J74" s="27" t="str">
        <f>VLOOKUP(B74,Sheet5!A74:J397,6,0)</f>
        <v>2017/12/02</v>
      </c>
      <c r="K74" s="27" t="str">
        <f>VLOOKUP(B74,Sheet5!A74:J397,7,0)</f>
        <v>易点租</v>
      </c>
      <c r="L74" s="27" t="str">
        <f>VLOOKUP(B74,Sheet5!A74:J397,8,0)</f>
        <v>i7</v>
      </c>
      <c r="M74" s="27" t="str">
        <f>VLOOKUP(B74,Sheet5!A74:J397,9,0)</f>
        <v>16G</v>
      </c>
      <c r="N74" s="27" t="str">
        <f>VLOOKUP(B74,Sheet5!A74:J397,10,0)</f>
        <v>240G SSD</v>
      </c>
    </row>
    <row r="75" spans="1:14" x14ac:dyDescent="0.2">
      <c r="A75" s="14" t="s">
        <v>85</v>
      </c>
      <c r="B75" s="14" t="s">
        <v>86</v>
      </c>
      <c r="C75" s="14">
        <v>4431</v>
      </c>
      <c r="D75" s="14" t="s">
        <v>689</v>
      </c>
      <c r="E75" s="14" t="s">
        <v>1200</v>
      </c>
      <c r="F75" s="27" t="str">
        <f>VLOOKUP(B75,Sheet5!A75:J398,2,0)</f>
        <v>笔记本电脑</v>
      </c>
      <c r="G75" s="27" t="str">
        <f>VLOOKUP(B75,Sheet5!A75:J398,3,0)</f>
        <v>ThinkPad</v>
      </c>
      <c r="H75" s="27" t="str">
        <f>VLOOKUP(B75,Sheet5!A75:J398,4,0)</f>
        <v>X230</v>
      </c>
      <c r="I75" s="27" t="str">
        <f>VLOOKUP(B75,Sheet5!A75:J398,5,0)</f>
        <v>115.00</v>
      </c>
      <c r="J75" s="27" t="str">
        <f>VLOOKUP(B75,Sheet5!A75:J398,6,0)</f>
        <v>2017/12/05</v>
      </c>
      <c r="K75" s="27" t="str">
        <f>VLOOKUP(B75,Sheet5!A75:J398,7,0)</f>
        <v>易点租</v>
      </c>
      <c r="L75" s="27" t="str">
        <f>VLOOKUP(B75,Sheet5!A75:J398,8,0)</f>
        <v>i5</v>
      </c>
      <c r="M75" s="27" t="str">
        <f>VLOOKUP(B75,Sheet5!A75:J398,9,0)</f>
        <v>8G</v>
      </c>
      <c r="N75" s="27" t="str">
        <f>VLOOKUP(B75,Sheet5!A75:J398,10,0)</f>
        <v>500G</v>
      </c>
    </row>
    <row r="76" spans="1:14" x14ac:dyDescent="0.2">
      <c r="A76" s="14" t="s">
        <v>87</v>
      </c>
      <c r="B76" s="14" t="s">
        <v>88</v>
      </c>
      <c r="C76" s="14">
        <v>2848</v>
      </c>
      <c r="D76" s="14" t="s">
        <v>689</v>
      </c>
      <c r="E76" s="14" t="s">
        <v>1200</v>
      </c>
      <c r="F76" s="27" t="str">
        <f>VLOOKUP(B76,Sheet5!A76:J399,2,0)</f>
        <v>笔记本电脑</v>
      </c>
      <c r="G76" s="27" t="str">
        <f>VLOOKUP(B76,Sheet5!A76:J399,3,0)</f>
        <v>ThinkPad</v>
      </c>
      <c r="H76" s="27" t="str">
        <f>VLOOKUP(B76,Sheet5!A76:J399,4,0)</f>
        <v>X240</v>
      </c>
      <c r="I76" s="27" t="str">
        <f>VLOOKUP(B76,Sheet5!A76:J399,5,0)</f>
        <v>195.00</v>
      </c>
      <c r="J76" s="27" t="str">
        <f>VLOOKUP(B76,Sheet5!A76:J399,6,0)</f>
        <v>2018/03/02</v>
      </c>
      <c r="K76" s="27" t="str">
        <f>VLOOKUP(B76,Sheet5!A76:J399,7,0)</f>
        <v>易点租</v>
      </c>
      <c r="L76" s="27" t="str">
        <f>VLOOKUP(B76,Sheet5!A76:J399,8,0)</f>
        <v>i5</v>
      </c>
      <c r="M76" s="27" t="str">
        <f>VLOOKUP(B76,Sheet5!A76:J399,9,0)</f>
        <v>8G</v>
      </c>
      <c r="N76" s="27" t="str">
        <f>VLOOKUP(B76,Sheet5!A76:J399,10,0)</f>
        <v>240G</v>
      </c>
    </row>
    <row r="77" spans="1:14" x14ac:dyDescent="0.2">
      <c r="A77" s="14" t="s">
        <v>89</v>
      </c>
      <c r="B77" s="14" t="s">
        <v>90</v>
      </c>
      <c r="C77" s="14">
        <v>3926</v>
      </c>
      <c r="D77" s="14" t="s">
        <v>689</v>
      </c>
      <c r="E77" s="14" t="s">
        <v>1200</v>
      </c>
      <c r="F77" s="27" t="str">
        <f>VLOOKUP(B77,Sheet5!A77:J400,2,0)</f>
        <v>台式机</v>
      </c>
      <c r="G77" s="27" t="str">
        <f>VLOOKUP(B77,Sheet5!A77:J400,3,0)</f>
        <v>联想/Lenovo</v>
      </c>
      <c r="H77" s="27" t="str">
        <f>VLOOKUP(B77,Sheet5!A77:J400,4,0)</f>
        <v>M710s</v>
      </c>
      <c r="I77" s="27" t="str">
        <f>VLOOKUP(B77,Sheet5!A77:J400,5,0)</f>
        <v>218.00</v>
      </c>
      <c r="J77" s="27" t="str">
        <f>VLOOKUP(B77,Sheet5!A77:J400,6,0)</f>
        <v>2018/05/26</v>
      </c>
      <c r="K77" s="27" t="str">
        <f>VLOOKUP(B77,Sheet5!A77:J400,7,0)</f>
        <v>易点租</v>
      </c>
      <c r="L77" s="27" t="str">
        <f>VLOOKUP(B77,Sheet5!A77:J400,8,0)</f>
        <v>i5</v>
      </c>
      <c r="M77" s="27" t="str">
        <f>VLOOKUP(B77,Sheet5!A77:J400,9,0)</f>
        <v>8G</v>
      </c>
      <c r="N77" s="27" t="str">
        <f>VLOOKUP(B77,Sheet5!A77:J400,10,0)</f>
        <v>256G SSD</v>
      </c>
    </row>
    <row r="78" spans="1:14" x14ac:dyDescent="0.2">
      <c r="A78" s="14" t="s">
        <v>91</v>
      </c>
      <c r="B78" s="14" t="s">
        <v>92</v>
      </c>
      <c r="C78" s="14">
        <v>8247</v>
      </c>
      <c r="D78" s="14" t="s">
        <v>689</v>
      </c>
      <c r="E78" s="14" t="s">
        <v>1200</v>
      </c>
      <c r="F78" s="27" t="e">
        <f>VLOOKUP(B78,Sheet5!A78:J401,2,0)</f>
        <v>#N/A</v>
      </c>
      <c r="G78" s="27" t="e">
        <f>VLOOKUP(B78,Sheet5!A78:J401,3,0)</f>
        <v>#N/A</v>
      </c>
      <c r="H78" s="27" t="e">
        <f>VLOOKUP(B78,Sheet5!A78:J401,4,0)</f>
        <v>#N/A</v>
      </c>
      <c r="I78" s="27" t="e">
        <f>VLOOKUP(B78,Sheet5!A78:J401,5,0)</f>
        <v>#N/A</v>
      </c>
      <c r="J78" s="27" t="e">
        <f>VLOOKUP(B78,Sheet5!A78:J401,6,0)</f>
        <v>#N/A</v>
      </c>
      <c r="K78" s="27" t="e">
        <f>VLOOKUP(B78,Sheet5!A78:J401,7,0)</f>
        <v>#N/A</v>
      </c>
      <c r="L78" s="27" t="e">
        <f>VLOOKUP(B78,Sheet5!A78:J401,8,0)</f>
        <v>#N/A</v>
      </c>
      <c r="M78" s="27" t="e">
        <f>VLOOKUP(B78,Sheet5!A78:J401,9,0)</f>
        <v>#N/A</v>
      </c>
      <c r="N78" s="27" t="e">
        <f>VLOOKUP(B78,Sheet5!A78:J401,10,0)</f>
        <v>#N/A</v>
      </c>
    </row>
    <row r="79" spans="1:14" x14ac:dyDescent="0.2">
      <c r="A79" s="14" t="s">
        <v>93</v>
      </c>
      <c r="B79" s="14" t="s">
        <v>94</v>
      </c>
      <c r="C79" s="14">
        <v>16405</v>
      </c>
      <c r="D79" s="14" t="s">
        <v>689</v>
      </c>
      <c r="E79" s="14" t="s">
        <v>1200</v>
      </c>
      <c r="F79" s="27" t="str">
        <f>VLOOKUP(B79,Sheet5!A79:J402,2,0)</f>
        <v>笔记本电脑</v>
      </c>
      <c r="G79" s="27" t="str">
        <f>VLOOKUP(B79,Sheet5!A79:J402,3,0)</f>
        <v>ThinkPad</v>
      </c>
      <c r="H79" s="27" t="str">
        <f>VLOOKUP(B79,Sheet5!A79:J402,4,0)</f>
        <v>X220</v>
      </c>
      <c r="I79" s="27" t="str">
        <f>VLOOKUP(B79,Sheet5!A79:J402,5,0)</f>
        <v>110.00</v>
      </c>
      <c r="J79" s="27" t="str">
        <f>VLOOKUP(B79,Sheet5!A79:J402,6,0)</f>
        <v>2017/10/16</v>
      </c>
      <c r="K79" s="27" t="str">
        <f>VLOOKUP(B79,Sheet5!A79:J402,7,0)</f>
        <v>易点租</v>
      </c>
      <c r="L79" s="27" t="str">
        <f>VLOOKUP(B79,Sheet5!A79:J402,8,0)</f>
        <v>i5</v>
      </c>
      <c r="M79" s="27" t="str">
        <f>VLOOKUP(B79,Sheet5!A79:J402,9,0)</f>
        <v>8G</v>
      </c>
      <c r="N79" s="27" t="str">
        <f>VLOOKUP(B79,Sheet5!A79:J402,10,0)</f>
        <v>240G SSD</v>
      </c>
    </row>
    <row r="80" spans="1:14" x14ac:dyDescent="0.2">
      <c r="A80" s="14" t="s">
        <v>95</v>
      </c>
      <c r="B80" s="14" t="s">
        <v>557</v>
      </c>
      <c r="C80" s="14">
        <v>11011</v>
      </c>
      <c r="D80" s="14" t="s">
        <v>689</v>
      </c>
      <c r="E80" s="14" t="s">
        <v>1200</v>
      </c>
      <c r="F80" s="27" t="str">
        <f>VLOOKUP(B80,Sheet5!A80:J403,2,0)</f>
        <v>笔记本电脑</v>
      </c>
      <c r="G80" s="27" t="str">
        <f>VLOOKUP(B80,Sheet5!A80:J403,3,0)</f>
        <v>ThinkPad</v>
      </c>
      <c r="H80" s="27" t="str">
        <f>VLOOKUP(B80,Sheet5!A80:J403,4,0)</f>
        <v>X220</v>
      </c>
      <c r="I80" s="27" t="str">
        <f>VLOOKUP(B80,Sheet5!A80:J403,5,0)</f>
        <v>110.00</v>
      </c>
      <c r="J80" s="27" t="str">
        <f>VLOOKUP(B80,Sheet5!A80:J403,6,0)</f>
        <v>2018/01/14</v>
      </c>
      <c r="K80" s="27" t="str">
        <f>VLOOKUP(B80,Sheet5!A80:J403,7,0)</f>
        <v>易点租</v>
      </c>
      <c r="L80" s="27" t="str">
        <f>VLOOKUP(B80,Sheet5!A80:J403,8,0)</f>
        <v>i5</v>
      </c>
      <c r="M80" s="27" t="str">
        <f>VLOOKUP(B80,Sheet5!A80:J403,9,0)</f>
        <v>8G</v>
      </c>
      <c r="N80" s="27" t="str">
        <f>VLOOKUP(B80,Sheet5!A80:J403,10,0)</f>
        <v>500G</v>
      </c>
    </row>
    <row r="81" spans="1:14" x14ac:dyDescent="0.2">
      <c r="A81" s="14" t="s">
        <v>96</v>
      </c>
      <c r="B81" s="14" t="s">
        <v>558</v>
      </c>
      <c r="C81" s="14">
        <v>14609</v>
      </c>
      <c r="D81" s="14" t="s">
        <v>689</v>
      </c>
      <c r="E81" s="14" t="s">
        <v>1200</v>
      </c>
      <c r="F81" s="27" t="e">
        <f>VLOOKUP(B81,Sheet5!A81:J404,2,0)</f>
        <v>#N/A</v>
      </c>
      <c r="G81" s="27" t="e">
        <f>VLOOKUP(B81,Sheet5!A81:J404,3,0)</f>
        <v>#N/A</v>
      </c>
      <c r="H81" s="27" t="e">
        <f>VLOOKUP(B81,Sheet5!A81:J404,4,0)</f>
        <v>#N/A</v>
      </c>
      <c r="I81" s="27" t="e">
        <f>VLOOKUP(B81,Sheet5!A81:J404,5,0)</f>
        <v>#N/A</v>
      </c>
      <c r="J81" s="27" t="e">
        <f>VLOOKUP(B81,Sheet5!A81:J404,6,0)</f>
        <v>#N/A</v>
      </c>
      <c r="K81" s="27" t="e">
        <f>VLOOKUP(B81,Sheet5!A81:J404,7,0)</f>
        <v>#N/A</v>
      </c>
      <c r="L81" s="27" t="e">
        <f>VLOOKUP(B81,Sheet5!A81:J404,8,0)</f>
        <v>#N/A</v>
      </c>
      <c r="M81" s="27" t="e">
        <f>VLOOKUP(B81,Sheet5!A81:J404,9,0)</f>
        <v>#N/A</v>
      </c>
      <c r="N81" s="27" t="e">
        <f>VLOOKUP(B81,Sheet5!A81:J404,10,0)</f>
        <v>#N/A</v>
      </c>
    </row>
    <row r="82" spans="1:14" x14ac:dyDescent="0.2">
      <c r="A82" s="14" t="s">
        <v>97</v>
      </c>
      <c r="B82" s="14" t="s">
        <v>98</v>
      </c>
      <c r="C82" s="14">
        <v>14561</v>
      </c>
      <c r="D82" s="14" t="s">
        <v>689</v>
      </c>
      <c r="E82" s="14" t="s">
        <v>1200</v>
      </c>
      <c r="F82" s="27" t="str">
        <f>VLOOKUP(B82,Sheet5!A82:J405,2,0)</f>
        <v>笔记本电脑</v>
      </c>
      <c r="G82" s="27" t="str">
        <f>VLOOKUP(B82,Sheet5!A82:J405,3,0)</f>
        <v>ThinkPad</v>
      </c>
      <c r="H82" s="27" t="str">
        <f>VLOOKUP(B82,Sheet5!A82:J405,4,0)</f>
        <v>X220</v>
      </c>
      <c r="I82" s="27" t="str">
        <f>VLOOKUP(B82,Sheet5!A82:J405,5,0)</f>
        <v>110.00</v>
      </c>
      <c r="J82" s="27" t="str">
        <f>VLOOKUP(B82,Sheet5!A82:J405,6,0)</f>
        <v>2018/03/07</v>
      </c>
      <c r="K82" s="27" t="str">
        <f>VLOOKUP(B82,Sheet5!A82:J405,7,0)</f>
        <v>易点租</v>
      </c>
      <c r="L82" s="27" t="str">
        <f>VLOOKUP(B82,Sheet5!A82:J405,8,0)</f>
        <v>i5</v>
      </c>
      <c r="M82" s="27" t="str">
        <f>VLOOKUP(B82,Sheet5!A82:J405,9,0)</f>
        <v>8G</v>
      </c>
      <c r="N82" s="27" t="str">
        <f>VLOOKUP(B82,Sheet5!A82:J405,10,0)</f>
        <v>500G</v>
      </c>
    </row>
    <row r="83" spans="1:14" x14ac:dyDescent="0.2">
      <c r="A83" s="14" t="s">
        <v>99</v>
      </c>
      <c r="B83" s="14" t="s">
        <v>100</v>
      </c>
      <c r="C83" s="14">
        <v>16849</v>
      </c>
      <c r="D83" s="14" t="s">
        <v>689</v>
      </c>
      <c r="E83" s="14" t="s">
        <v>1200</v>
      </c>
      <c r="F83" s="27" t="str">
        <f>VLOOKUP(B83,Sheet5!A83:J406,2,0)</f>
        <v>笔记本电脑</v>
      </c>
      <c r="G83" s="27" t="str">
        <f>VLOOKUP(B83,Sheet5!A83:J406,3,0)</f>
        <v>ThinkPad</v>
      </c>
      <c r="H83" s="27" t="str">
        <f>VLOOKUP(B83,Sheet5!A83:J406,4,0)</f>
        <v>X220</v>
      </c>
      <c r="I83" s="27" t="str">
        <f>VLOOKUP(B83,Sheet5!A83:J406,5,0)</f>
        <v>105.00</v>
      </c>
      <c r="J83" s="27" t="str">
        <f>VLOOKUP(B83,Sheet5!A83:J406,6,0)</f>
        <v>2017/10/16</v>
      </c>
      <c r="K83" s="27" t="str">
        <f>VLOOKUP(B83,Sheet5!A83:J406,7,0)</f>
        <v>易点租</v>
      </c>
      <c r="L83" s="27" t="str">
        <f>VLOOKUP(B83,Sheet5!A83:J406,8,0)</f>
        <v>i5</v>
      </c>
      <c r="M83" s="27" t="str">
        <f>VLOOKUP(B83,Sheet5!A83:J406,9,0)</f>
        <v>8G</v>
      </c>
      <c r="N83" s="27" t="str">
        <f>VLOOKUP(B83,Sheet5!A83:J406,10,0)</f>
        <v>500G</v>
      </c>
    </row>
    <row r="84" spans="1:14" x14ac:dyDescent="0.2">
      <c r="A84" s="14" t="s">
        <v>101</v>
      </c>
      <c r="B84" s="14" t="s">
        <v>102</v>
      </c>
      <c r="C84" s="14">
        <v>1672</v>
      </c>
      <c r="D84" s="14" t="s">
        <v>689</v>
      </c>
      <c r="E84" s="14" t="s">
        <v>1200</v>
      </c>
      <c r="F84" s="27" t="e">
        <f>VLOOKUP(B84,Sheet5!A84:J407,2,0)</f>
        <v>#N/A</v>
      </c>
      <c r="G84" s="27" t="e">
        <f>VLOOKUP(B84,Sheet5!A84:J407,3,0)</f>
        <v>#N/A</v>
      </c>
      <c r="H84" s="27" t="e">
        <f>VLOOKUP(B84,Sheet5!A84:J407,4,0)</f>
        <v>#N/A</v>
      </c>
      <c r="I84" s="27" t="e">
        <f>VLOOKUP(B84,Sheet5!A84:J407,5,0)</f>
        <v>#N/A</v>
      </c>
      <c r="J84" s="27" t="e">
        <f>VLOOKUP(B84,Sheet5!A84:J407,6,0)</f>
        <v>#N/A</v>
      </c>
      <c r="K84" s="27" t="e">
        <f>VLOOKUP(B84,Sheet5!A84:J407,7,0)</f>
        <v>#N/A</v>
      </c>
      <c r="L84" s="27" t="e">
        <f>VLOOKUP(B84,Sheet5!A84:J407,8,0)</f>
        <v>#N/A</v>
      </c>
      <c r="M84" s="27" t="e">
        <f>VLOOKUP(B84,Sheet5!A84:J407,9,0)</f>
        <v>#N/A</v>
      </c>
      <c r="N84" s="27" t="e">
        <f>VLOOKUP(B84,Sheet5!A84:J407,10,0)</f>
        <v>#N/A</v>
      </c>
    </row>
    <row r="85" spans="1:14" x14ac:dyDescent="0.2">
      <c r="A85" s="14" t="s">
        <v>103</v>
      </c>
      <c r="B85" s="14" t="s">
        <v>104</v>
      </c>
      <c r="C85" s="14">
        <v>10791</v>
      </c>
      <c r="D85" s="14" t="s">
        <v>689</v>
      </c>
      <c r="E85" s="14" t="s">
        <v>1200</v>
      </c>
      <c r="F85" s="27" t="e">
        <f>VLOOKUP(B85,Sheet5!A85:J408,2,0)</f>
        <v>#N/A</v>
      </c>
      <c r="G85" s="27" t="e">
        <f>VLOOKUP(B85,Sheet5!A85:J408,3,0)</f>
        <v>#N/A</v>
      </c>
      <c r="H85" s="27" t="e">
        <f>VLOOKUP(B85,Sheet5!A85:J408,4,0)</f>
        <v>#N/A</v>
      </c>
      <c r="I85" s="27" t="e">
        <f>VLOOKUP(B85,Sheet5!A85:J408,5,0)</f>
        <v>#N/A</v>
      </c>
      <c r="J85" s="27" t="e">
        <f>VLOOKUP(B85,Sheet5!A85:J408,6,0)</f>
        <v>#N/A</v>
      </c>
      <c r="K85" s="27" t="e">
        <f>VLOOKUP(B85,Sheet5!A85:J408,7,0)</f>
        <v>#N/A</v>
      </c>
      <c r="L85" s="27" t="e">
        <f>VLOOKUP(B85,Sheet5!A85:J408,8,0)</f>
        <v>#N/A</v>
      </c>
      <c r="M85" s="27" t="e">
        <f>VLOOKUP(B85,Sheet5!A85:J408,9,0)</f>
        <v>#N/A</v>
      </c>
      <c r="N85" s="27" t="e">
        <f>VLOOKUP(B85,Sheet5!A85:J408,10,0)</f>
        <v>#N/A</v>
      </c>
    </row>
    <row r="86" spans="1:14" x14ac:dyDescent="0.2">
      <c r="A86" s="14" t="s">
        <v>105</v>
      </c>
      <c r="B86" s="14" t="s">
        <v>106</v>
      </c>
      <c r="C86" s="14">
        <v>4272</v>
      </c>
      <c r="D86" s="14" t="s">
        <v>689</v>
      </c>
      <c r="E86" s="14" t="s">
        <v>1200</v>
      </c>
      <c r="F86" s="27" t="e">
        <f>VLOOKUP(B86,Sheet5!A86:J409,2,0)</f>
        <v>#N/A</v>
      </c>
      <c r="G86" s="27" t="e">
        <f>VLOOKUP(B86,Sheet5!A86:J409,3,0)</f>
        <v>#N/A</v>
      </c>
      <c r="H86" s="27" t="e">
        <f>VLOOKUP(B86,Sheet5!A86:J409,4,0)</f>
        <v>#N/A</v>
      </c>
      <c r="I86" s="27" t="e">
        <f>VLOOKUP(B86,Sheet5!A86:J409,5,0)</f>
        <v>#N/A</v>
      </c>
      <c r="J86" s="27" t="e">
        <f>VLOOKUP(B86,Sheet5!A86:J409,6,0)</f>
        <v>#N/A</v>
      </c>
      <c r="K86" s="27" t="e">
        <f>VLOOKUP(B86,Sheet5!A86:J409,7,0)</f>
        <v>#N/A</v>
      </c>
      <c r="L86" s="27" t="e">
        <f>VLOOKUP(B86,Sheet5!A86:J409,8,0)</f>
        <v>#N/A</v>
      </c>
      <c r="M86" s="27" t="e">
        <f>VLOOKUP(B86,Sheet5!A86:J409,9,0)</f>
        <v>#N/A</v>
      </c>
      <c r="N86" s="27" t="e">
        <f>VLOOKUP(B86,Sheet5!A86:J409,10,0)</f>
        <v>#N/A</v>
      </c>
    </row>
    <row r="87" spans="1:14" x14ac:dyDescent="0.2">
      <c r="A87" s="14" t="s">
        <v>107</v>
      </c>
      <c r="B87" s="14" t="s">
        <v>559</v>
      </c>
      <c r="C87" s="14">
        <v>15421</v>
      </c>
      <c r="D87" s="14" t="s">
        <v>689</v>
      </c>
      <c r="E87" s="14" t="s">
        <v>1200</v>
      </c>
      <c r="F87" s="27" t="str">
        <f>VLOOKUP(B87,Sheet5!A87:J410,2,0)</f>
        <v>笔记本电脑</v>
      </c>
      <c r="G87" s="27" t="str">
        <f>VLOOKUP(B87,Sheet5!A87:J410,3,0)</f>
        <v>ThinkPad</v>
      </c>
      <c r="H87" s="27" t="str">
        <f>VLOOKUP(B87,Sheet5!A87:J410,4,0)</f>
        <v>X230</v>
      </c>
      <c r="I87" s="27" t="str">
        <f>VLOOKUP(B87,Sheet5!A87:J410,5,0)</f>
        <v>100.00</v>
      </c>
      <c r="J87" s="27" t="str">
        <f>VLOOKUP(B87,Sheet5!A87:J410,6,0)</f>
        <v>2018/01/01</v>
      </c>
      <c r="K87" s="27" t="str">
        <f>VLOOKUP(B87,Sheet5!A87:J410,7,0)</f>
        <v>易点租</v>
      </c>
      <c r="L87" s="27" t="str">
        <f>VLOOKUP(B87,Sheet5!A87:J410,8,0)</f>
        <v>i5</v>
      </c>
      <c r="M87" s="27" t="str">
        <f>VLOOKUP(B87,Sheet5!A87:J410,9,0)</f>
        <v>8G</v>
      </c>
      <c r="N87" s="27" t="str">
        <f>VLOOKUP(B87,Sheet5!A87:J410,10,0)</f>
        <v>500G</v>
      </c>
    </row>
    <row r="88" spans="1:14" x14ac:dyDescent="0.2">
      <c r="A88" s="14" t="s">
        <v>108</v>
      </c>
      <c r="B88" s="14" t="s">
        <v>560</v>
      </c>
      <c r="C88" s="14">
        <v>7669</v>
      </c>
      <c r="D88" s="14" t="s">
        <v>689</v>
      </c>
      <c r="E88" s="14" t="s">
        <v>1200</v>
      </c>
      <c r="F88" s="27" t="str">
        <f>VLOOKUP(B88,Sheet5!A88:J411,2,0)</f>
        <v>笔记本电脑</v>
      </c>
      <c r="G88" s="27" t="str">
        <f>VLOOKUP(B88,Sheet5!A88:J411,3,0)</f>
        <v>ThinkPad</v>
      </c>
      <c r="H88" s="27" t="str">
        <f>VLOOKUP(B88,Sheet5!A88:J411,4,0)</f>
        <v>X220</v>
      </c>
      <c r="I88" s="27" t="str">
        <f>VLOOKUP(B88,Sheet5!A88:J411,5,0)</f>
        <v>110.00</v>
      </c>
      <c r="J88" s="27" t="str">
        <f>VLOOKUP(B88,Sheet5!A88:J411,6,0)</f>
        <v>2018/03/15</v>
      </c>
      <c r="K88" s="27" t="str">
        <f>VLOOKUP(B88,Sheet5!A88:J411,7,0)</f>
        <v>易点租</v>
      </c>
      <c r="L88" s="27" t="str">
        <f>VLOOKUP(B88,Sheet5!A88:J411,8,0)</f>
        <v>i5</v>
      </c>
      <c r="M88" s="27" t="str">
        <f>VLOOKUP(B88,Sheet5!A88:J411,9,0)</f>
        <v>8G</v>
      </c>
      <c r="N88" s="27" t="str">
        <f>VLOOKUP(B88,Sheet5!A88:J411,10,0)</f>
        <v>500G</v>
      </c>
    </row>
    <row r="89" spans="1:14" x14ac:dyDescent="0.2">
      <c r="A89" s="14" t="s">
        <v>109</v>
      </c>
      <c r="B89" s="14" t="s">
        <v>110</v>
      </c>
      <c r="C89" s="14">
        <v>12542</v>
      </c>
      <c r="D89" s="14" t="s">
        <v>689</v>
      </c>
      <c r="E89" s="14" t="s">
        <v>1200</v>
      </c>
      <c r="F89" s="27" t="str">
        <f>VLOOKUP(B89,Sheet5!A89:J412,2,0)</f>
        <v>笔记本电脑</v>
      </c>
      <c r="G89" s="27" t="str">
        <f>VLOOKUP(B89,Sheet5!A89:J412,3,0)</f>
        <v>ThinkPad</v>
      </c>
      <c r="H89" s="27" t="str">
        <f>VLOOKUP(B89,Sheet5!A89:J412,4,0)</f>
        <v>X240</v>
      </c>
      <c r="I89" s="27" t="str">
        <f>VLOOKUP(B89,Sheet5!A89:J412,5,0)</f>
        <v>115.00</v>
      </c>
      <c r="J89" s="27" t="str">
        <f>VLOOKUP(B89,Sheet5!A89:J412,6,0)</f>
        <v>2018/04/20</v>
      </c>
      <c r="K89" s="27" t="str">
        <f>VLOOKUP(B89,Sheet5!A89:J412,7,0)</f>
        <v>易点租</v>
      </c>
      <c r="L89" s="27" t="str">
        <f>VLOOKUP(B89,Sheet5!A89:J412,8,0)</f>
        <v>i5</v>
      </c>
      <c r="M89" s="27" t="str">
        <f>VLOOKUP(B89,Sheet5!A89:J412,9,0)</f>
        <v>8G</v>
      </c>
      <c r="N89" s="27" t="str">
        <f>VLOOKUP(B89,Sheet5!A89:J412,10,0)</f>
        <v>500G</v>
      </c>
    </row>
    <row r="90" spans="1:14" x14ac:dyDescent="0.2">
      <c r="A90" s="14" t="s">
        <v>111</v>
      </c>
      <c r="B90" s="14" t="s">
        <v>112</v>
      </c>
      <c r="C90" s="14">
        <v>6269</v>
      </c>
      <c r="D90" s="14" t="s">
        <v>689</v>
      </c>
      <c r="E90" s="14" t="s">
        <v>1200</v>
      </c>
      <c r="F90" s="27" t="str">
        <f>VLOOKUP(B90,Sheet5!A90:J413,2,0)</f>
        <v>笔记本电脑</v>
      </c>
      <c r="G90" s="27" t="str">
        <f>VLOOKUP(B90,Sheet5!A90:J413,3,0)</f>
        <v>ThinkPad</v>
      </c>
      <c r="H90" s="27" t="str">
        <f>VLOOKUP(B90,Sheet5!A90:J413,4,0)</f>
        <v>T440</v>
      </c>
      <c r="I90" s="27" t="str">
        <f>VLOOKUP(B90,Sheet5!A90:J413,5,0)</f>
        <v>115.00</v>
      </c>
      <c r="J90" s="27" t="str">
        <f>VLOOKUP(B90,Sheet5!A90:J413,6,0)</f>
        <v>2018/03/18</v>
      </c>
      <c r="K90" s="27" t="str">
        <f>VLOOKUP(B90,Sheet5!A90:J413,7,0)</f>
        <v>易点租</v>
      </c>
      <c r="L90" s="27" t="str">
        <f>VLOOKUP(B90,Sheet5!A90:J413,8,0)</f>
        <v/>
      </c>
      <c r="M90" s="27" t="str">
        <f>VLOOKUP(B90,Sheet5!A90:J413,9,0)</f>
        <v/>
      </c>
      <c r="N90" s="27" t="str">
        <f>VLOOKUP(B90,Sheet5!A90:J413,10,0)</f>
        <v/>
      </c>
    </row>
    <row r="91" spans="1:14" x14ac:dyDescent="0.2">
      <c r="A91" s="14" t="s">
        <v>113</v>
      </c>
      <c r="B91" s="14" t="s">
        <v>561</v>
      </c>
      <c r="C91" s="14">
        <v>16414</v>
      </c>
      <c r="D91" s="14" t="s">
        <v>689</v>
      </c>
      <c r="E91" s="14" t="s">
        <v>1200</v>
      </c>
      <c r="F91" s="27" t="e">
        <f>VLOOKUP(B91,Sheet5!A91:J414,2,0)</f>
        <v>#N/A</v>
      </c>
      <c r="G91" s="27" t="e">
        <f>VLOOKUP(B91,Sheet5!A91:J414,3,0)</f>
        <v>#N/A</v>
      </c>
      <c r="H91" s="27" t="e">
        <f>VLOOKUP(B91,Sheet5!A91:J414,4,0)</f>
        <v>#N/A</v>
      </c>
      <c r="I91" s="27" t="e">
        <f>VLOOKUP(B91,Sheet5!A91:J414,5,0)</f>
        <v>#N/A</v>
      </c>
      <c r="J91" s="27" t="e">
        <f>VLOOKUP(B91,Sheet5!A91:J414,6,0)</f>
        <v>#N/A</v>
      </c>
      <c r="K91" s="27" t="e">
        <f>VLOOKUP(B91,Sheet5!A91:J414,7,0)</f>
        <v>#N/A</v>
      </c>
      <c r="L91" s="27" t="e">
        <f>VLOOKUP(B91,Sheet5!A91:J414,8,0)</f>
        <v>#N/A</v>
      </c>
      <c r="M91" s="27" t="e">
        <f>VLOOKUP(B91,Sheet5!A91:J414,9,0)</f>
        <v>#N/A</v>
      </c>
      <c r="N91" s="27" t="e">
        <f>VLOOKUP(B91,Sheet5!A91:J414,10,0)</f>
        <v>#N/A</v>
      </c>
    </row>
    <row r="92" spans="1:14" x14ac:dyDescent="0.2">
      <c r="A92" s="14" t="s">
        <v>114</v>
      </c>
      <c r="B92" s="14" t="s">
        <v>562</v>
      </c>
      <c r="C92" s="14">
        <v>19434</v>
      </c>
      <c r="D92" s="14" t="s">
        <v>689</v>
      </c>
      <c r="E92" s="14" t="s">
        <v>1200</v>
      </c>
      <c r="F92" s="27" t="str">
        <f>VLOOKUP(B92,Sheet5!A92:J415,2,0)</f>
        <v>笔记本电脑</v>
      </c>
      <c r="G92" s="27" t="str">
        <f>VLOOKUP(B92,Sheet5!A92:J415,3,0)</f>
        <v>ThinkPad</v>
      </c>
      <c r="H92" s="27" t="str">
        <f>VLOOKUP(B92,Sheet5!A92:J415,4,0)</f>
        <v>T430</v>
      </c>
      <c r="I92" s="27" t="str">
        <f>VLOOKUP(B92,Sheet5!A92:J415,5,0)</f>
        <v>115.00</v>
      </c>
      <c r="J92" s="27" t="str">
        <f>VLOOKUP(B92,Sheet5!A92:J415,6,0)</f>
        <v>2018/11/02</v>
      </c>
      <c r="K92" s="27" t="str">
        <f>VLOOKUP(B92,Sheet5!A92:J415,7,0)</f>
        <v>易点租</v>
      </c>
      <c r="L92" s="27" t="str">
        <f>VLOOKUP(B92,Sheet5!A92:J415,8,0)</f>
        <v>i5</v>
      </c>
      <c r="M92" s="27" t="str">
        <f>VLOOKUP(B92,Sheet5!A92:J415,9,0)</f>
        <v>8G</v>
      </c>
      <c r="N92" s="27" t="str">
        <f>VLOOKUP(B92,Sheet5!A92:J415,10,0)</f>
        <v>500G</v>
      </c>
    </row>
    <row r="93" spans="1:14" x14ac:dyDescent="0.2">
      <c r="A93" s="14" t="s">
        <v>115</v>
      </c>
      <c r="B93" s="14" t="s">
        <v>563</v>
      </c>
      <c r="C93" s="14">
        <v>3742</v>
      </c>
      <c r="D93" s="14" t="s">
        <v>689</v>
      </c>
      <c r="E93" s="14" t="s">
        <v>1200</v>
      </c>
      <c r="F93" s="27" t="str">
        <f>VLOOKUP(B93,Sheet5!A93:J416,2,0)</f>
        <v>笔记本电脑</v>
      </c>
      <c r="G93" s="27" t="str">
        <f>VLOOKUP(B93,Sheet5!A93:J416,3,0)</f>
        <v>ThinkPad</v>
      </c>
      <c r="H93" s="27" t="str">
        <f>VLOOKUP(B93,Sheet5!A93:J416,4,0)</f>
        <v>X201</v>
      </c>
      <c r="I93" s="27" t="str">
        <f>VLOOKUP(B93,Sheet5!A93:J416,5,0)</f>
        <v>70.00</v>
      </c>
      <c r="J93" s="27" t="str">
        <f>VLOOKUP(B93,Sheet5!A93:J416,6,0)</f>
        <v>2018/05/03</v>
      </c>
      <c r="K93" s="27" t="str">
        <f>VLOOKUP(B93,Sheet5!A93:J416,7,0)</f>
        <v>易点租</v>
      </c>
      <c r="L93" s="27" t="str">
        <f>VLOOKUP(B93,Sheet5!A93:J416,8,0)</f>
        <v>i5</v>
      </c>
      <c r="M93" s="27" t="str">
        <f>VLOOKUP(B93,Sheet5!A93:J416,9,0)</f>
        <v>4G</v>
      </c>
      <c r="N93" s="27" t="str">
        <f>VLOOKUP(B93,Sheet5!A93:J416,10,0)</f>
        <v>120G SSD</v>
      </c>
    </row>
    <row r="94" spans="1:14" x14ac:dyDescent="0.2">
      <c r="A94" s="14" t="s">
        <v>116</v>
      </c>
      <c r="B94" s="14" t="s">
        <v>564</v>
      </c>
      <c r="C94" s="14">
        <v>4418</v>
      </c>
      <c r="D94" s="14" t="s">
        <v>689</v>
      </c>
      <c r="E94" s="14" t="s">
        <v>1200</v>
      </c>
      <c r="F94" s="27" t="e">
        <f>VLOOKUP(B94,Sheet5!A94:J417,2,0)</f>
        <v>#N/A</v>
      </c>
      <c r="G94" s="27" t="e">
        <f>VLOOKUP(B94,Sheet5!A94:J417,3,0)</f>
        <v>#N/A</v>
      </c>
      <c r="H94" s="27" t="e">
        <f>VLOOKUP(B94,Sheet5!A94:J417,4,0)</f>
        <v>#N/A</v>
      </c>
      <c r="I94" s="27" t="e">
        <f>VLOOKUP(B94,Sheet5!A94:J417,5,0)</f>
        <v>#N/A</v>
      </c>
      <c r="J94" s="27" t="e">
        <f>VLOOKUP(B94,Sheet5!A94:J417,6,0)</f>
        <v>#N/A</v>
      </c>
      <c r="K94" s="27" t="e">
        <f>VLOOKUP(B94,Sheet5!A94:J417,7,0)</f>
        <v>#N/A</v>
      </c>
      <c r="L94" s="27" t="e">
        <f>VLOOKUP(B94,Sheet5!A94:J417,8,0)</f>
        <v>#N/A</v>
      </c>
      <c r="M94" s="27" t="e">
        <f>VLOOKUP(B94,Sheet5!A94:J417,9,0)</f>
        <v>#N/A</v>
      </c>
      <c r="N94" s="27" t="e">
        <f>VLOOKUP(B94,Sheet5!A94:J417,10,0)</f>
        <v>#N/A</v>
      </c>
    </row>
    <row r="95" spans="1:14" x14ac:dyDescent="0.2">
      <c r="A95" s="14" t="s">
        <v>117</v>
      </c>
      <c r="B95" s="14" t="s">
        <v>118</v>
      </c>
      <c r="C95" s="14">
        <v>8684</v>
      </c>
      <c r="D95" s="14" t="s">
        <v>689</v>
      </c>
      <c r="E95" s="14" t="s">
        <v>1200</v>
      </c>
      <c r="F95" s="27" t="e">
        <f>VLOOKUP(B95,Sheet5!A95:J418,2,0)</f>
        <v>#N/A</v>
      </c>
      <c r="G95" s="27" t="e">
        <f>VLOOKUP(B95,Sheet5!A95:J418,3,0)</f>
        <v>#N/A</v>
      </c>
      <c r="H95" s="27" t="e">
        <f>VLOOKUP(B95,Sheet5!A95:J418,4,0)</f>
        <v>#N/A</v>
      </c>
      <c r="I95" s="27" t="e">
        <f>VLOOKUP(B95,Sheet5!A95:J418,5,0)</f>
        <v>#N/A</v>
      </c>
      <c r="J95" s="27" t="e">
        <f>VLOOKUP(B95,Sheet5!A95:J418,6,0)</f>
        <v>#N/A</v>
      </c>
      <c r="K95" s="27" t="e">
        <f>VLOOKUP(B95,Sheet5!A95:J418,7,0)</f>
        <v>#N/A</v>
      </c>
      <c r="L95" s="27" t="e">
        <f>VLOOKUP(B95,Sheet5!A95:J418,8,0)</f>
        <v>#N/A</v>
      </c>
      <c r="M95" s="27" t="e">
        <f>VLOOKUP(B95,Sheet5!A95:J418,9,0)</f>
        <v>#N/A</v>
      </c>
      <c r="N95" s="27" t="e">
        <f>VLOOKUP(B95,Sheet5!A95:J418,10,0)</f>
        <v>#N/A</v>
      </c>
    </row>
    <row r="96" spans="1:14" x14ac:dyDescent="0.2">
      <c r="A96" s="14" t="s">
        <v>119</v>
      </c>
      <c r="B96" s="14" t="s">
        <v>120</v>
      </c>
      <c r="C96" s="14">
        <v>3762</v>
      </c>
      <c r="D96" s="14" t="s">
        <v>689</v>
      </c>
      <c r="E96" s="14" t="s">
        <v>1200</v>
      </c>
      <c r="F96" s="27" t="str">
        <f>VLOOKUP(B96,Sheet5!A96:J419,2,0)</f>
        <v>笔记本电脑</v>
      </c>
      <c r="G96" s="27" t="str">
        <f>VLOOKUP(B96,Sheet5!A96:J419,3,0)</f>
        <v>ThinkPad</v>
      </c>
      <c r="H96" s="27" t="str">
        <f>VLOOKUP(B96,Sheet5!A96:J419,4,0)</f>
        <v>X220</v>
      </c>
      <c r="I96" s="27" t="str">
        <f>VLOOKUP(B96,Sheet5!A96:J419,5,0)</f>
        <v>110.00</v>
      </c>
      <c r="J96" s="27" t="str">
        <f>VLOOKUP(B96,Sheet5!A96:J419,6,0)</f>
        <v>2018/03/25</v>
      </c>
      <c r="K96" s="27" t="str">
        <f>VLOOKUP(B96,Sheet5!A96:J419,7,0)</f>
        <v>易点租</v>
      </c>
      <c r="L96" s="27" t="str">
        <f>VLOOKUP(B96,Sheet5!A96:J419,8,0)</f>
        <v>i5</v>
      </c>
      <c r="M96" s="27" t="str">
        <f>VLOOKUP(B96,Sheet5!A96:J419,9,0)</f>
        <v>8G</v>
      </c>
      <c r="N96" s="27" t="str">
        <f>VLOOKUP(B96,Sheet5!A96:J419,10,0)</f>
        <v>500G</v>
      </c>
    </row>
    <row r="97" spans="1:14" x14ac:dyDescent="0.2">
      <c r="A97" s="14" t="s">
        <v>68</v>
      </c>
      <c r="B97" s="14" t="s">
        <v>565</v>
      </c>
      <c r="C97" s="14">
        <v>12815</v>
      </c>
      <c r="D97" s="14" t="s">
        <v>689</v>
      </c>
      <c r="E97" s="14" t="s">
        <v>1200</v>
      </c>
      <c r="F97" s="27" t="str">
        <f>VLOOKUP(B97,Sheet5!A97:J420,2,0)</f>
        <v>笔记本电脑</v>
      </c>
      <c r="G97" s="27" t="str">
        <f>VLOOKUP(B97,Sheet5!A97:J420,3,0)</f>
        <v>ThinkPad</v>
      </c>
      <c r="H97" s="27" t="str">
        <f>VLOOKUP(B97,Sheet5!A97:J420,4,0)</f>
        <v>T440</v>
      </c>
      <c r="I97" s="27" t="str">
        <f>VLOOKUP(B97,Sheet5!A97:J420,5,0)</f>
        <v>115.00</v>
      </c>
      <c r="J97" s="27" t="str">
        <f>VLOOKUP(B97,Sheet5!A97:J420,6,0)</f>
        <v>2018/03/26</v>
      </c>
      <c r="K97" s="27" t="str">
        <f>VLOOKUP(B97,Sheet5!A97:J420,7,0)</f>
        <v>易点租</v>
      </c>
      <c r="L97" s="27" t="str">
        <f>VLOOKUP(B97,Sheet5!A97:J420,8,0)</f>
        <v/>
      </c>
      <c r="M97" s="27" t="str">
        <f>VLOOKUP(B97,Sheet5!A97:J420,9,0)</f>
        <v/>
      </c>
      <c r="N97" s="27" t="str">
        <f>VLOOKUP(B97,Sheet5!A97:J420,10,0)</f>
        <v/>
      </c>
    </row>
    <row r="98" spans="1:14" x14ac:dyDescent="0.2">
      <c r="A98" s="14" t="s">
        <v>121</v>
      </c>
      <c r="B98" s="14" t="s">
        <v>122</v>
      </c>
      <c r="C98" s="14">
        <v>1444</v>
      </c>
      <c r="D98" s="14" t="s">
        <v>689</v>
      </c>
      <c r="E98" s="14" t="s">
        <v>1200</v>
      </c>
      <c r="F98" s="27" t="e">
        <f>VLOOKUP(B98,Sheet5!A98:J421,2,0)</f>
        <v>#N/A</v>
      </c>
      <c r="G98" s="27" t="e">
        <f>VLOOKUP(B98,Sheet5!A98:J421,3,0)</f>
        <v>#N/A</v>
      </c>
      <c r="H98" s="27" t="e">
        <f>VLOOKUP(B98,Sheet5!A98:J421,4,0)</f>
        <v>#N/A</v>
      </c>
      <c r="I98" s="27" t="e">
        <f>VLOOKUP(B98,Sheet5!A98:J421,5,0)</f>
        <v>#N/A</v>
      </c>
      <c r="J98" s="27" t="e">
        <f>VLOOKUP(B98,Sheet5!A98:J421,6,0)</f>
        <v>#N/A</v>
      </c>
      <c r="K98" s="27" t="e">
        <f>VLOOKUP(B98,Sheet5!A98:J421,7,0)</f>
        <v>#N/A</v>
      </c>
      <c r="L98" s="27" t="e">
        <f>VLOOKUP(B98,Sheet5!A98:J421,8,0)</f>
        <v>#N/A</v>
      </c>
      <c r="M98" s="27" t="e">
        <f>VLOOKUP(B98,Sheet5!A98:J421,9,0)</f>
        <v>#N/A</v>
      </c>
      <c r="N98" s="27" t="e">
        <f>VLOOKUP(B98,Sheet5!A98:J421,10,0)</f>
        <v>#N/A</v>
      </c>
    </row>
    <row r="99" spans="1:14" x14ac:dyDescent="0.2">
      <c r="A99" s="14" t="s">
        <v>123</v>
      </c>
      <c r="B99" s="14" t="s">
        <v>124</v>
      </c>
      <c r="C99" s="14">
        <v>1239</v>
      </c>
      <c r="D99" s="14" t="s">
        <v>689</v>
      </c>
      <c r="E99" s="14" t="s">
        <v>1200</v>
      </c>
      <c r="F99" s="27" t="e">
        <f>VLOOKUP(B99,Sheet5!A99:J422,2,0)</f>
        <v>#N/A</v>
      </c>
      <c r="G99" s="27" t="e">
        <f>VLOOKUP(B99,Sheet5!A99:J422,3,0)</f>
        <v>#N/A</v>
      </c>
      <c r="H99" s="27" t="e">
        <f>VLOOKUP(B99,Sheet5!A99:J422,4,0)</f>
        <v>#N/A</v>
      </c>
      <c r="I99" s="27" t="e">
        <f>VLOOKUP(B99,Sheet5!A99:J422,5,0)</f>
        <v>#N/A</v>
      </c>
      <c r="J99" s="27" t="e">
        <f>VLOOKUP(B99,Sheet5!A99:J422,6,0)</f>
        <v>#N/A</v>
      </c>
      <c r="K99" s="27" t="e">
        <f>VLOOKUP(B99,Sheet5!A99:J422,7,0)</f>
        <v>#N/A</v>
      </c>
      <c r="L99" s="27" t="e">
        <f>VLOOKUP(B99,Sheet5!A99:J422,8,0)</f>
        <v>#N/A</v>
      </c>
      <c r="M99" s="27" t="e">
        <f>VLOOKUP(B99,Sheet5!A99:J422,9,0)</f>
        <v>#N/A</v>
      </c>
      <c r="N99" s="27" t="e">
        <f>VLOOKUP(B99,Sheet5!A99:J422,10,0)</f>
        <v>#N/A</v>
      </c>
    </row>
    <row r="100" spans="1:14" x14ac:dyDescent="0.2">
      <c r="A100" s="14" t="s">
        <v>125</v>
      </c>
      <c r="B100" s="14" t="s">
        <v>126</v>
      </c>
      <c r="C100" s="14">
        <v>2746</v>
      </c>
      <c r="D100" s="14" t="s">
        <v>689</v>
      </c>
      <c r="E100" s="14" t="s">
        <v>1200</v>
      </c>
      <c r="F100" s="27" t="e">
        <f>VLOOKUP(B100,Sheet5!A100:J423,2,0)</f>
        <v>#N/A</v>
      </c>
      <c r="G100" s="27" t="e">
        <f>VLOOKUP(B100,Sheet5!A100:J423,3,0)</f>
        <v>#N/A</v>
      </c>
      <c r="H100" s="27" t="e">
        <f>VLOOKUP(B100,Sheet5!A100:J423,4,0)</f>
        <v>#N/A</v>
      </c>
      <c r="I100" s="27" t="e">
        <f>VLOOKUP(B100,Sheet5!A100:J423,5,0)</f>
        <v>#N/A</v>
      </c>
      <c r="J100" s="27" t="e">
        <f>VLOOKUP(B100,Sheet5!A100:J423,6,0)</f>
        <v>#N/A</v>
      </c>
      <c r="K100" s="27" t="e">
        <f>VLOOKUP(B100,Sheet5!A100:J423,7,0)</f>
        <v>#N/A</v>
      </c>
      <c r="L100" s="27" t="e">
        <f>VLOOKUP(B100,Sheet5!A100:J423,8,0)</f>
        <v>#N/A</v>
      </c>
      <c r="M100" s="27" t="e">
        <f>VLOOKUP(B100,Sheet5!A100:J423,9,0)</f>
        <v>#N/A</v>
      </c>
      <c r="N100" s="27" t="e">
        <f>VLOOKUP(B100,Sheet5!A100:J423,10,0)</f>
        <v>#N/A</v>
      </c>
    </row>
    <row r="101" spans="1:14" x14ac:dyDescent="0.2">
      <c r="A101" s="14" t="s">
        <v>127</v>
      </c>
      <c r="B101" s="14" t="s">
        <v>566</v>
      </c>
      <c r="C101" s="14">
        <v>8185</v>
      </c>
      <c r="D101" s="14" t="s">
        <v>689</v>
      </c>
      <c r="E101" s="14" t="s">
        <v>1200</v>
      </c>
      <c r="F101" s="27" t="str">
        <f>VLOOKUP(B101,Sheet5!A101:J424,2,0)</f>
        <v>笔记本电脑</v>
      </c>
      <c r="G101" s="27" t="str">
        <f>VLOOKUP(B101,Sheet5!A101:J424,3,0)</f>
        <v>ThinkPad</v>
      </c>
      <c r="H101" s="27" t="str">
        <f>VLOOKUP(B101,Sheet5!A101:J424,4,0)</f>
        <v>X230</v>
      </c>
      <c r="I101" s="27" t="str">
        <f>VLOOKUP(B101,Sheet5!A101:J424,5,0)</f>
        <v>95.00</v>
      </c>
      <c r="J101" s="27" t="str">
        <f>VLOOKUP(B101,Sheet5!A101:J424,6,0)</f>
        <v>2018/11/02</v>
      </c>
      <c r="K101" s="27" t="str">
        <f>VLOOKUP(B101,Sheet5!A101:J424,7,0)</f>
        <v>易点租</v>
      </c>
      <c r="L101" s="27" t="str">
        <f>VLOOKUP(B101,Sheet5!A101:J424,8,0)</f>
        <v>i5</v>
      </c>
      <c r="M101" s="27" t="str">
        <f>VLOOKUP(B101,Sheet5!A101:J424,9,0)</f>
        <v>8G</v>
      </c>
      <c r="N101" s="27" t="str">
        <f>VLOOKUP(B101,Sheet5!A101:J424,10,0)</f>
        <v>500G</v>
      </c>
    </row>
    <row r="102" spans="1:14" x14ac:dyDescent="0.2">
      <c r="A102" s="14" t="s">
        <v>128</v>
      </c>
      <c r="B102" s="14" t="s">
        <v>129</v>
      </c>
      <c r="C102" s="14">
        <v>9347</v>
      </c>
      <c r="D102" s="14" t="s">
        <v>689</v>
      </c>
      <c r="E102" s="14" t="s">
        <v>1200</v>
      </c>
      <c r="F102" s="27" t="str">
        <f>VLOOKUP(B102,Sheet5!A102:J425,2,0)</f>
        <v>笔记本电脑</v>
      </c>
      <c r="G102" s="27" t="str">
        <f>VLOOKUP(B102,Sheet5!A102:J425,3,0)</f>
        <v>ThinkPad</v>
      </c>
      <c r="H102" s="27" t="str">
        <f>VLOOKUP(B102,Sheet5!A102:J425,4,0)</f>
        <v>X230</v>
      </c>
      <c r="I102" s="27" t="str">
        <f>VLOOKUP(B102,Sheet5!A102:J425,5,0)</f>
        <v>100.00</v>
      </c>
      <c r="J102" s="27" t="str">
        <f>VLOOKUP(B102,Sheet5!A102:J425,6,0)</f>
        <v>2018/01/01</v>
      </c>
      <c r="K102" s="27" t="str">
        <f>VLOOKUP(B102,Sheet5!A102:J425,7,0)</f>
        <v>易点租</v>
      </c>
      <c r="L102" s="27" t="str">
        <f>VLOOKUP(B102,Sheet5!A102:J425,8,0)</f>
        <v>i5</v>
      </c>
      <c r="M102" s="27" t="str">
        <f>VLOOKUP(B102,Sheet5!A102:J425,9,0)</f>
        <v>8G</v>
      </c>
      <c r="N102" s="27" t="str">
        <f>VLOOKUP(B102,Sheet5!A102:J425,10,0)</f>
        <v>500G</v>
      </c>
    </row>
    <row r="103" spans="1:14" x14ac:dyDescent="0.2">
      <c r="A103" s="14" t="s">
        <v>130</v>
      </c>
      <c r="B103" s="14" t="s">
        <v>567</v>
      </c>
      <c r="C103" s="14">
        <v>16608</v>
      </c>
      <c r="D103" s="14" t="s">
        <v>689</v>
      </c>
      <c r="E103" s="14" t="s">
        <v>1200</v>
      </c>
      <c r="F103" s="27" t="str">
        <f>VLOOKUP(B103,Sheet5!A103:J426,2,0)</f>
        <v>笔记本电脑</v>
      </c>
      <c r="G103" s="27" t="str">
        <f>VLOOKUP(B103,Sheet5!A103:J426,3,0)</f>
        <v>ThinkPad</v>
      </c>
      <c r="H103" s="27" t="str">
        <f>VLOOKUP(B103,Sheet5!A103:J426,4,0)</f>
        <v>X240</v>
      </c>
      <c r="I103" s="27" t="str">
        <f>VLOOKUP(B103,Sheet5!A103:J426,5,0)</f>
        <v>115.00</v>
      </c>
      <c r="J103" s="27" t="str">
        <f>VLOOKUP(B103,Sheet5!A103:J426,6,0)</f>
        <v>2018/04/20</v>
      </c>
      <c r="K103" s="27" t="str">
        <f>VLOOKUP(B103,Sheet5!A103:J426,7,0)</f>
        <v>易点租</v>
      </c>
      <c r="L103" s="27" t="str">
        <f>VLOOKUP(B103,Sheet5!A103:J426,8,0)</f>
        <v>i5</v>
      </c>
      <c r="M103" s="27" t="str">
        <f>VLOOKUP(B103,Sheet5!A103:J426,9,0)</f>
        <v>8G</v>
      </c>
      <c r="N103" s="27" t="str">
        <f>VLOOKUP(B103,Sheet5!A103:J426,10,0)</f>
        <v>500G</v>
      </c>
    </row>
    <row r="104" spans="1:14" x14ac:dyDescent="0.2">
      <c r="A104" s="14" t="s">
        <v>131</v>
      </c>
      <c r="B104" s="14" t="s">
        <v>568</v>
      </c>
      <c r="C104" s="14">
        <v>17227</v>
      </c>
      <c r="D104" s="14" t="s">
        <v>689</v>
      </c>
      <c r="E104" s="14" t="s">
        <v>1200</v>
      </c>
      <c r="F104" s="27" t="str">
        <f>VLOOKUP(B104,Sheet5!A104:J427,2,0)</f>
        <v>笔记本电脑</v>
      </c>
      <c r="G104" s="27" t="str">
        <f>VLOOKUP(B104,Sheet5!A104:J427,3,0)</f>
        <v>ThinkPad</v>
      </c>
      <c r="H104" s="27" t="str">
        <f>VLOOKUP(B104,Sheet5!A104:J427,4,0)</f>
        <v>X230</v>
      </c>
      <c r="I104" s="27" t="str">
        <f>VLOOKUP(B104,Sheet5!A104:J427,5,0)</f>
        <v>100.00</v>
      </c>
      <c r="J104" s="27" t="str">
        <f>VLOOKUP(B104,Sheet5!A104:J427,6,0)</f>
        <v>2017/12/19</v>
      </c>
      <c r="K104" s="27" t="str">
        <f>VLOOKUP(B104,Sheet5!A104:J427,7,0)</f>
        <v>易点租</v>
      </c>
      <c r="L104" s="27" t="str">
        <f>VLOOKUP(B104,Sheet5!A104:J427,8,0)</f>
        <v>i5</v>
      </c>
      <c r="M104" s="27" t="str">
        <f>VLOOKUP(B104,Sheet5!A104:J427,9,0)</f>
        <v>8G</v>
      </c>
      <c r="N104" s="27" t="str">
        <f>VLOOKUP(B104,Sheet5!A104:J427,10,0)</f>
        <v>500G</v>
      </c>
    </row>
    <row r="105" spans="1:14" x14ac:dyDescent="0.2">
      <c r="A105" s="14" t="s">
        <v>132</v>
      </c>
      <c r="B105" s="14" t="s">
        <v>133</v>
      </c>
      <c r="C105" s="14">
        <v>13310</v>
      </c>
      <c r="D105" s="14" t="s">
        <v>689</v>
      </c>
      <c r="E105" s="14" t="s">
        <v>1200</v>
      </c>
      <c r="F105" s="27" t="e">
        <f>VLOOKUP(B105,Sheet5!A105:J428,2,0)</f>
        <v>#N/A</v>
      </c>
      <c r="G105" s="27" t="e">
        <f>VLOOKUP(B105,Sheet5!A105:J428,3,0)</f>
        <v>#N/A</v>
      </c>
      <c r="H105" s="27" t="e">
        <f>VLOOKUP(B105,Sheet5!A105:J428,4,0)</f>
        <v>#N/A</v>
      </c>
      <c r="I105" s="27" t="e">
        <f>VLOOKUP(B105,Sheet5!A105:J428,5,0)</f>
        <v>#N/A</v>
      </c>
      <c r="J105" s="27" t="e">
        <f>VLOOKUP(B105,Sheet5!A105:J428,6,0)</f>
        <v>#N/A</v>
      </c>
      <c r="K105" s="27" t="e">
        <f>VLOOKUP(B105,Sheet5!A105:J428,7,0)</f>
        <v>#N/A</v>
      </c>
      <c r="L105" s="27" t="e">
        <f>VLOOKUP(B105,Sheet5!A105:J428,8,0)</f>
        <v>#N/A</v>
      </c>
      <c r="M105" s="27" t="e">
        <f>VLOOKUP(B105,Sheet5!A105:J428,9,0)</f>
        <v>#N/A</v>
      </c>
      <c r="N105" s="27" t="e">
        <f>VLOOKUP(B105,Sheet5!A105:J428,10,0)</f>
        <v>#N/A</v>
      </c>
    </row>
    <row r="106" spans="1:14" x14ac:dyDescent="0.2">
      <c r="A106" s="14" t="s">
        <v>134</v>
      </c>
      <c r="B106" s="14" t="s">
        <v>569</v>
      </c>
      <c r="C106" s="14">
        <v>18892</v>
      </c>
      <c r="D106" s="14" t="s">
        <v>689</v>
      </c>
      <c r="E106" s="14" t="s">
        <v>1200</v>
      </c>
      <c r="F106" s="27" t="e">
        <f>VLOOKUP(B106,Sheet5!A106:J429,2,0)</f>
        <v>#N/A</v>
      </c>
      <c r="G106" s="27" t="e">
        <f>VLOOKUP(B106,Sheet5!A106:J429,3,0)</f>
        <v>#N/A</v>
      </c>
      <c r="H106" s="27" t="e">
        <f>VLOOKUP(B106,Sheet5!A106:J429,4,0)</f>
        <v>#N/A</v>
      </c>
      <c r="I106" s="27" t="e">
        <f>VLOOKUP(B106,Sheet5!A106:J429,5,0)</f>
        <v>#N/A</v>
      </c>
      <c r="J106" s="27" t="e">
        <f>VLOOKUP(B106,Sheet5!A106:J429,6,0)</f>
        <v>#N/A</v>
      </c>
      <c r="K106" s="27" t="e">
        <f>VLOOKUP(B106,Sheet5!A106:J429,7,0)</f>
        <v>#N/A</v>
      </c>
      <c r="L106" s="27" t="e">
        <f>VLOOKUP(B106,Sheet5!A106:J429,8,0)</f>
        <v>#N/A</v>
      </c>
      <c r="M106" s="27" t="e">
        <f>VLOOKUP(B106,Sheet5!A106:J429,9,0)</f>
        <v>#N/A</v>
      </c>
      <c r="N106" s="27" t="e">
        <f>VLOOKUP(B106,Sheet5!A106:J429,10,0)</f>
        <v>#N/A</v>
      </c>
    </row>
    <row r="107" spans="1:14" x14ac:dyDescent="0.2">
      <c r="A107" s="14" t="s">
        <v>135</v>
      </c>
      <c r="B107" s="14" t="s">
        <v>136</v>
      </c>
      <c r="C107" s="14">
        <v>19590</v>
      </c>
      <c r="D107" s="14" t="s">
        <v>689</v>
      </c>
      <c r="E107" s="14" t="s">
        <v>1200</v>
      </c>
      <c r="F107" s="27" t="str">
        <f>VLOOKUP(B107,Sheet5!A107:J430,2,0)</f>
        <v>笔记本电脑</v>
      </c>
      <c r="G107" s="27" t="str">
        <f>VLOOKUP(B107,Sheet5!A107:J430,3,0)</f>
        <v>ThinkPad</v>
      </c>
      <c r="H107" s="27" t="str">
        <f>VLOOKUP(B107,Sheet5!A107:J430,4,0)</f>
        <v>X230</v>
      </c>
      <c r="I107" s="27" t="str">
        <f>VLOOKUP(B107,Sheet5!A107:J430,5,0)</f>
        <v>100.00</v>
      </c>
      <c r="J107" s="27" t="str">
        <f>VLOOKUP(B107,Sheet5!A107:J430,6,0)</f>
        <v>2018/01/01</v>
      </c>
      <c r="K107" s="27" t="str">
        <f>VLOOKUP(B107,Sheet5!A107:J430,7,0)</f>
        <v>易点租</v>
      </c>
      <c r="L107" s="27" t="str">
        <f>VLOOKUP(B107,Sheet5!A107:J430,8,0)</f>
        <v>i5</v>
      </c>
      <c r="M107" s="27" t="str">
        <f>VLOOKUP(B107,Sheet5!A107:J430,9,0)</f>
        <v>8G</v>
      </c>
      <c r="N107" s="27" t="str">
        <f>VLOOKUP(B107,Sheet5!A107:J430,10,0)</f>
        <v>500G</v>
      </c>
    </row>
    <row r="108" spans="1:14" x14ac:dyDescent="0.2">
      <c r="A108" s="14" t="s">
        <v>137</v>
      </c>
      <c r="B108" s="14" t="s">
        <v>570</v>
      </c>
      <c r="C108" s="14">
        <v>2193</v>
      </c>
      <c r="D108" s="14" t="s">
        <v>689</v>
      </c>
      <c r="E108" s="14" t="s">
        <v>1200</v>
      </c>
      <c r="F108" s="27" t="str">
        <f>VLOOKUP(B108,Sheet5!A108:J431,2,0)</f>
        <v>笔记本电脑</v>
      </c>
      <c r="G108" s="27" t="str">
        <f>VLOOKUP(B108,Sheet5!A108:J431,3,0)</f>
        <v>ThinkPad</v>
      </c>
      <c r="H108" s="27" t="str">
        <f>VLOOKUP(B108,Sheet5!A108:J431,4,0)</f>
        <v>X220</v>
      </c>
      <c r="I108" s="27" t="str">
        <f>VLOOKUP(B108,Sheet5!A108:J431,5,0)</f>
        <v>110.00</v>
      </c>
      <c r="J108" s="27" t="str">
        <f>VLOOKUP(B108,Sheet5!A108:J431,6,0)</f>
        <v>2018/03/07</v>
      </c>
      <c r="K108" s="27" t="str">
        <f>VLOOKUP(B108,Sheet5!A108:J431,7,0)</f>
        <v>易点租</v>
      </c>
      <c r="L108" s="27" t="str">
        <f>VLOOKUP(B108,Sheet5!A108:J431,8,0)</f>
        <v>i5</v>
      </c>
      <c r="M108" s="27" t="str">
        <f>VLOOKUP(B108,Sheet5!A108:J431,9,0)</f>
        <v>8G</v>
      </c>
      <c r="N108" s="27" t="str">
        <f>VLOOKUP(B108,Sheet5!A108:J431,10,0)</f>
        <v>500G</v>
      </c>
    </row>
    <row r="109" spans="1:14" x14ac:dyDescent="0.2">
      <c r="A109" s="14" t="s">
        <v>138</v>
      </c>
      <c r="B109" s="14" t="s">
        <v>139</v>
      </c>
      <c r="C109" s="14">
        <v>370</v>
      </c>
      <c r="D109" s="14" t="s">
        <v>689</v>
      </c>
      <c r="E109" s="14" t="s">
        <v>1200</v>
      </c>
      <c r="F109" s="27" t="e">
        <f>VLOOKUP(B109,Sheet5!A109:J432,2,0)</f>
        <v>#N/A</v>
      </c>
      <c r="G109" s="27" t="e">
        <f>VLOOKUP(B109,Sheet5!A109:J432,3,0)</f>
        <v>#N/A</v>
      </c>
      <c r="H109" s="27" t="e">
        <f>VLOOKUP(B109,Sheet5!A109:J432,4,0)</f>
        <v>#N/A</v>
      </c>
      <c r="I109" s="27" t="e">
        <f>VLOOKUP(B109,Sheet5!A109:J432,5,0)</f>
        <v>#N/A</v>
      </c>
      <c r="J109" s="27" t="e">
        <f>VLOOKUP(B109,Sheet5!A109:J432,6,0)</f>
        <v>#N/A</v>
      </c>
      <c r="K109" s="27" t="e">
        <f>VLOOKUP(B109,Sheet5!A109:J432,7,0)</f>
        <v>#N/A</v>
      </c>
      <c r="L109" s="27" t="e">
        <f>VLOOKUP(B109,Sheet5!A109:J432,8,0)</f>
        <v>#N/A</v>
      </c>
      <c r="M109" s="27" t="e">
        <f>VLOOKUP(B109,Sheet5!A109:J432,9,0)</f>
        <v>#N/A</v>
      </c>
      <c r="N109" s="27" t="e">
        <f>VLOOKUP(B109,Sheet5!A109:J432,10,0)</f>
        <v>#N/A</v>
      </c>
    </row>
    <row r="110" spans="1:14" x14ac:dyDescent="0.2">
      <c r="A110" s="14" t="s">
        <v>140</v>
      </c>
      <c r="B110" s="14" t="s">
        <v>571</v>
      </c>
      <c r="C110" s="14">
        <v>1859</v>
      </c>
      <c r="D110" s="14" t="s">
        <v>689</v>
      </c>
      <c r="E110" s="14" t="s">
        <v>1200</v>
      </c>
      <c r="F110" s="27" t="str">
        <f>VLOOKUP(B110,Sheet5!A110:J433,2,0)</f>
        <v>笔记本电脑</v>
      </c>
      <c r="G110" s="27" t="str">
        <f>VLOOKUP(B110,Sheet5!A110:J433,3,0)</f>
        <v>ThinkPad</v>
      </c>
      <c r="H110" s="27" t="str">
        <f>VLOOKUP(B110,Sheet5!A110:J433,4,0)</f>
        <v>X220</v>
      </c>
      <c r="I110" s="27" t="str">
        <f>VLOOKUP(B110,Sheet5!A110:J433,5,0)</f>
        <v>110.00</v>
      </c>
      <c r="J110" s="27" t="str">
        <f>VLOOKUP(B110,Sheet5!A110:J433,6,0)</f>
        <v>2018/01/14</v>
      </c>
      <c r="K110" s="27" t="str">
        <f>VLOOKUP(B110,Sheet5!A110:J433,7,0)</f>
        <v>易点租</v>
      </c>
      <c r="L110" s="27" t="str">
        <f>VLOOKUP(B110,Sheet5!A110:J433,8,0)</f>
        <v>i5</v>
      </c>
      <c r="M110" s="27" t="str">
        <f>VLOOKUP(B110,Sheet5!A110:J433,9,0)</f>
        <v>8G</v>
      </c>
      <c r="N110" s="27" t="str">
        <f>VLOOKUP(B110,Sheet5!A110:J433,10,0)</f>
        <v>500G</v>
      </c>
    </row>
    <row r="111" spans="1:14" x14ac:dyDescent="0.2">
      <c r="A111" s="14" t="s">
        <v>141</v>
      </c>
      <c r="B111" s="14" t="s">
        <v>572</v>
      </c>
      <c r="C111" s="14">
        <v>861</v>
      </c>
      <c r="D111" s="14" t="s">
        <v>689</v>
      </c>
      <c r="E111" s="14" t="s">
        <v>1200</v>
      </c>
      <c r="F111" s="27" t="str">
        <f>VLOOKUP(B111,Sheet5!A111:J434,2,0)</f>
        <v>笔记本电脑</v>
      </c>
      <c r="G111" s="27" t="str">
        <f>VLOOKUP(B111,Sheet5!A111:J434,3,0)</f>
        <v>ThinkPad</v>
      </c>
      <c r="H111" s="27" t="str">
        <f>VLOOKUP(B111,Sheet5!A111:J434,4,0)</f>
        <v>T440</v>
      </c>
      <c r="I111" s="27" t="str">
        <f>VLOOKUP(B111,Sheet5!A111:J434,5,0)</f>
        <v>115.00</v>
      </c>
      <c r="J111" s="27" t="str">
        <f>VLOOKUP(B111,Sheet5!A111:J434,6,0)</f>
        <v>2018/03/26</v>
      </c>
      <c r="K111" s="27" t="str">
        <f>VLOOKUP(B111,Sheet5!A111:J434,7,0)</f>
        <v>易点租</v>
      </c>
      <c r="L111" s="27" t="str">
        <f>VLOOKUP(B111,Sheet5!A111:J434,8,0)</f>
        <v/>
      </c>
      <c r="M111" s="27" t="str">
        <f>VLOOKUP(B111,Sheet5!A111:J434,9,0)</f>
        <v/>
      </c>
      <c r="N111" s="27" t="str">
        <f>VLOOKUP(B111,Sheet5!A111:J434,10,0)</f>
        <v/>
      </c>
    </row>
    <row r="112" spans="1:14" x14ac:dyDescent="0.2">
      <c r="A112" s="14" t="s">
        <v>142</v>
      </c>
      <c r="B112" s="14" t="s">
        <v>143</v>
      </c>
      <c r="C112" s="14">
        <v>10912</v>
      </c>
      <c r="D112" s="14" t="s">
        <v>689</v>
      </c>
      <c r="E112" s="14" t="s">
        <v>1200</v>
      </c>
      <c r="F112" s="27" t="str">
        <f>VLOOKUP(B112,Sheet5!A112:J435,2,0)</f>
        <v>笔记本电脑</v>
      </c>
      <c r="G112" s="27" t="str">
        <f>VLOOKUP(B112,Sheet5!A112:J435,3,0)</f>
        <v>戴尔/DELL</v>
      </c>
      <c r="H112" s="27" t="str">
        <f>VLOOKUP(B112,Sheet5!A112:J435,4,0)</f>
        <v>3490</v>
      </c>
      <c r="I112" s="27" t="str">
        <f>VLOOKUP(B112,Sheet5!A112:J435,5,0)</f>
        <v>105.00</v>
      </c>
      <c r="J112" s="27" t="str">
        <f>VLOOKUP(B112,Sheet5!A112:J435,6,0)</f>
        <v>2018/04/21</v>
      </c>
      <c r="K112" s="27" t="str">
        <f>VLOOKUP(B112,Sheet5!A112:J435,7,0)</f>
        <v>易点租</v>
      </c>
      <c r="L112" s="27" t="str">
        <f>VLOOKUP(B112,Sheet5!A112:J435,8,0)</f>
        <v/>
      </c>
      <c r="M112" s="27" t="str">
        <f>VLOOKUP(B112,Sheet5!A112:J435,9,0)</f>
        <v/>
      </c>
      <c r="N112" s="27" t="str">
        <f>VLOOKUP(B112,Sheet5!A112:J435,10,0)</f>
        <v/>
      </c>
    </row>
    <row r="113" spans="1:14" x14ac:dyDescent="0.2">
      <c r="A113" s="14" t="s">
        <v>144</v>
      </c>
      <c r="B113" s="14" t="s">
        <v>573</v>
      </c>
      <c r="C113" s="14">
        <v>5977</v>
      </c>
      <c r="D113" s="14" t="s">
        <v>689</v>
      </c>
      <c r="E113" s="14" t="s">
        <v>1200</v>
      </c>
      <c r="F113" s="27" t="e">
        <f>VLOOKUP(B113,Sheet5!A113:J436,2,0)</f>
        <v>#N/A</v>
      </c>
      <c r="G113" s="27" t="e">
        <f>VLOOKUP(B113,Sheet5!A113:J436,3,0)</f>
        <v>#N/A</v>
      </c>
      <c r="H113" s="27" t="e">
        <f>VLOOKUP(B113,Sheet5!A113:J436,4,0)</f>
        <v>#N/A</v>
      </c>
      <c r="I113" s="27" t="e">
        <f>VLOOKUP(B113,Sheet5!A113:J436,5,0)</f>
        <v>#N/A</v>
      </c>
      <c r="J113" s="27" t="e">
        <f>VLOOKUP(B113,Sheet5!A113:J436,6,0)</f>
        <v>#N/A</v>
      </c>
      <c r="K113" s="27" t="e">
        <f>VLOOKUP(B113,Sheet5!A113:J436,7,0)</f>
        <v>#N/A</v>
      </c>
      <c r="L113" s="27" t="e">
        <f>VLOOKUP(B113,Sheet5!A113:J436,8,0)</f>
        <v>#N/A</v>
      </c>
      <c r="M113" s="27" t="e">
        <f>VLOOKUP(B113,Sheet5!A113:J436,9,0)</f>
        <v>#N/A</v>
      </c>
      <c r="N113" s="27" t="e">
        <f>VLOOKUP(B113,Sheet5!A113:J436,10,0)</f>
        <v>#N/A</v>
      </c>
    </row>
    <row r="114" spans="1:14" x14ac:dyDescent="0.2">
      <c r="A114" s="14" t="s">
        <v>145</v>
      </c>
      <c r="B114" s="14" t="s">
        <v>574</v>
      </c>
      <c r="C114" s="14">
        <v>9741</v>
      </c>
      <c r="D114" s="14" t="s">
        <v>689</v>
      </c>
      <c r="E114" s="14" t="s">
        <v>1200</v>
      </c>
      <c r="F114" s="27" t="e">
        <f>VLOOKUP(B114,Sheet5!A114:J437,2,0)</f>
        <v>#N/A</v>
      </c>
      <c r="G114" s="27" t="e">
        <f>VLOOKUP(B114,Sheet5!A114:J437,3,0)</f>
        <v>#N/A</v>
      </c>
      <c r="H114" s="27" t="e">
        <f>VLOOKUP(B114,Sheet5!A114:J437,4,0)</f>
        <v>#N/A</v>
      </c>
      <c r="I114" s="27" t="e">
        <f>VLOOKUP(B114,Sheet5!A114:J437,5,0)</f>
        <v>#N/A</v>
      </c>
      <c r="J114" s="27" t="e">
        <f>VLOOKUP(B114,Sheet5!A114:J437,6,0)</f>
        <v>#N/A</v>
      </c>
      <c r="K114" s="27" t="e">
        <f>VLOOKUP(B114,Sheet5!A114:J437,7,0)</f>
        <v>#N/A</v>
      </c>
      <c r="L114" s="27" t="e">
        <f>VLOOKUP(B114,Sheet5!A114:J437,8,0)</f>
        <v>#N/A</v>
      </c>
      <c r="M114" s="27" t="e">
        <f>VLOOKUP(B114,Sheet5!A114:J437,9,0)</f>
        <v>#N/A</v>
      </c>
      <c r="N114" s="27" t="e">
        <f>VLOOKUP(B114,Sheet5!A114:J437,10,0)</f>
        <v>#N/A</v>
      </c>
    </row>
    <row r="115" spans="1:14" x14ac:dyDescent="0.2">
      <c r="A115" s="14" t="s">
        <v>146</v>
      </c>
      <c r="B115" s="14" t="s">
        <v>575</v>
      </c>
      <c r="C115" s="14">
        <v>4463</v>
      </c>
      <c r="D115" s="14" t="s">
        <v>689</v>
      </c>
      <c r="E115" s="14" t="s">
        <v>1200</v>
      </c>
      <c r="F115" s="27" t="str">
        <f>VLOOKUP(B115,Sheet5!A115:J438,2,0)</f>
        <v>笔记本电脑</v>
      </c>
      <c r="G115" s="27" t="str">
        <f>VLOOKUP(B115,Sheet5!A115:J438,3,0)</f>
        <v>ThinkPad</v>
      </c>
      <c r="H115" s="27" t="str">
        <f>VLOOKUP(B115,Sheet5!A115:J438,4,0)</f>
        <v>X230</v>
      </c>
      <c r="I115" s="27" t="str">
        <f>VLOOKUP(B115,Sheet5!A115:J438,5,0)</f>
        <v>100.00</v>
      </c>
      <c r="J115" s="27" t="str">
        <f>VLOOKUP(B115,Sheet5!A115:J438,6,0)</f>
        <v>2018/01/15</v>
      </c>
      <c r="K115" s="27" t="str">
        <f>VLOOKUP(B115,Sheet5!A115:J438,7,0)</f>
        <v>易点租</v>
      </c>
      <c r="L115" s="27" t="str">
        <f>VLOOKUP(B115,Sheet5!A115:J438,8,0)</f>
        <v>i5</v>
      </c>
      <c r="M115" s="27" t="str">
        <f>VLOOKUP(B115,Sheet5!A115:J438,9,0)</f>
        <v>8G</v>
      </c>
      <c r="N115" s="27" t="str">
        <f>VLOOKUP(B115,Sheet5!A115:J438,10,0)</f>
        <v>500G</v>
      </c>
    </row>
    <row r="116" spans="1:14" x14ac:dyDescent="0.2">
      <c r="A116" s="14" t="s">
        <v>147</v>
      </c>
      <c r="B116" s="14" t="s">
        <v>148</v>
      </c>
      <c r="C116" s="14">
        <v>43</v>
      </c>
      <c r="D116" s="14" t="s">
        <v>689</v>
      </c>
      <c r="E116" s="14" t="s">
        <v>1200</v>
      </c>
      <c r="F116" s="27" t="str">
        <f>VLOOKUP(B116,Sheet5!A116:J439,2,0)</f>
        <v>笔记本电脑</v>
      </c>
      <c r="G116" s="27" t="str">
        <f>VLOOKUP(B116,Sheet5!A116:J439,3,0)</f>
        <v>ThinkPad</v>
      </c>
      <c r="H116" s="27" t="str">
        <f>VLOOKUP(B116,Sheet5!A116:J439,4,0)</f>
        <v>T440</v>
      </c>
      <c r="I116" s="27" t="str">
        <f>VLOOKUP(B116,Sheet5!A116:J439,5,0)</f>
        <v>115.00</v>
      </c>
      <c r="J116" s="27" t="str">
        <f>VLOOKUP(B116,Sheet5!A116:J439,6,0)</f>
        <v>2018/01/29</v>
      </c>
      <c r="K116" s="27" t="str">
        <f>VLOOKUP(B116,Sheet5!A116:J439,7,0)</f>
        <v>易点租</v>
      </c>
      <c r="L116" s="27" t="str">
        <f>VLOOKUP(B116,Sheet5!A116:J439,8,0)</f>
        <v/>
      </c>
      <c r="M116" s="27" t="str">
        <f>VLOOKUP(B116,Sheet5!A116:J439,9,0)</f>
        <v/>
      </c>
      <c r="N116" s="27" t="str">
        <f>VLOOKUP(B116,Sheet5!A116:J439,10,0)</f>
        <v/>
      </c>
    </row>
    <row r="117" spans="1:14" x14ac:dyDescent="0.2">
      <c r="A117" s="14" t="s">
        <v>149</v>
      </c>
      <c r="B117" s="14" t="s">
        <v>150</v>
      </c>
      <c r="C117" s="14">
        <v>2242</v>
      </c>
      <c r="D117" s="14" t="s">
        <v>689</v>
      </c>
      <c r="E117" s="14" t="s">
        <v>1200</v>
      </c>
      <c r="F117" s="27" t="str">
        <f>VLOOKUP(B117,Sheet5!A117:J440,2,0)</f>
        <v>台式机</v>
      </c>
      <c r="G117" s="27" t="str">
        <f>VLOOKUP(B117,Sheet5!A117:J440,3,0)</f>
        <v>联想/Lenovo</v>
      </c>
      <c r="H117" s="27" t="str">
        <f>VLOOKUP(B117,Sheet5!A117:J440,4,0)</f>
        <v>M710s</v>
      </c>
      <c r="I117" s="27" t="str">
        <f>VLOOKUP(B117,Sheet5!A117:J440,5,0)</f>
        <v>298.00</v>
      </c>
      <c r="J117" s="27" t="str">
        <f>VLOOKUP(B117,Sheet5!A117:J440,6,0)</f>
        <v>2018/03/17</v>
      </c>
      <c r="K117" s="27" t="str">
        <f>VLOOKUP(B117,Sheet5!A117:J440,7,0)</f>
        <v>易点租</v>
      </c>
      <c r="L117" s="27" t="str">
        <f>VLOOKUP(B117,Sheet5!A117:J440,8,0)</f>
        <v>i7</v>
      </c>
      <c r="M117" s="27" t="str">
        <f>VLOOKUP(B117,Sheet5!A117:J440,9,0)</f>
        <v>16G</v>
      </c>
      <c r="N117" s="27" t="str">
        <f>VLOOKUP(B117,Sheet5!A117:J440,10,0)</f>
        <v>256G SSD</v>
      </c>
    </row>
    <row r="118" spans="1:14" x14ac:dyDescent="0.2">
      <c r="A118" s="14" t="s">
        <v>151</v>
      </c>
      <c r="B118" s="14" t="s">
        <v>576</v>
      </c>
      <c r="C118" s="14">
        <v>10134</v>
      </c>
      <c r="D118" s="14" t="s">
        <v>689</v>
      </c>
      <c r="E118" s="14" t="s">
        <v>1200</v>
      </c>
      <c r="F118" s="27" t="str">
        <f>VLOOKUP(B118,Sheet5!A118:J441,2,0)</f>
        <v>笔记本电脑</v>
      </c>
      <c r="G118" s="27" t="str">
        <f>VLOOKUP(B118,Sheet5!A118:J441,3,0)</f>
        <v>ThinkPad</v>
      </c>
      <c r="H118" s="27" t="str">
        <f>VLOOKUP(B118,Sheet5!A118:J441,4,0)</f>
        <v>X230</v>
      </c>
      <c r="I118" s="27" t="str">
        <f>VLOOKUP(B118,Sheet5!A118:J441,5,0)</f>
        <v>100.00</v>
      </c>
      <c r="J118" s="27" t="str">
        <f>VLOOKUP(B118,Sheet5!A118:J441,6,0)</f>
        <v>2018/02/27</v>
      </c>
      <c r="K118" s="27" t="str">
        <f>VLOOKUP(B118,Sheet5!A118:J441,7,0)</f>
        <v>易点租</v>
      </c>
      <c r="L118" s="27" t="str">
        <f>VLOOKUP(B118,Sheet5!A118:J441,8,0)</f>
        <v>i5</v>
      </c>
      <c r="M118" s="27" t="str">
        <f>VLOOKUP(B118,Sheet5!A118:J441,9,0)</f>
        <v>8G</v>
      </c>
      <c r="N118" s="27" t="str">
        <f>VLOOKUP(B118,Sheet5!A118:J441,10,0)</f>
        <v>500G</v>
      </c>
    </row>
    <row r="119" spans="1:14" x14ac:dyDescent="0.2">
      <c r="A119" s="14" t="s">
        <v>152</v>
      </c>
      <c r="B119" s="14" t="s">
        <v>577</v>
      </c>
      <c r="C119" s="14">
        <v>1671</v>
      </c>
      <c r="D119" s="14" t="s">
        <v>689</v>
      </c>
      <c r="E119" s="14" t="s">
        <v>1200</v>
      </c>
      <c r="F119" s="27" t="str">
        <f>VLOOKUP(B119,Sheet5!A119:J442,2,0)</f>
        <v>笔记本电脑</v>
      </c>
      <c r="G119" s="27" t="str">
        <f>VLOOKUP(B119,Sheet5!A119:J442,3,0)</f>
        <v>ThinkPad</v>
      </c>
      <c r="H119" s="27" t="str">
        <f>VLOOKUP(B119,Sheet5!A119:J442,4,0)</f>
        <v>X240</v>
      </c>
      <c r="I119" s="27" t="str">
        <f>VLOOKUP(B119,Sheet5!A119:J442,5,0)</f>
        <v>145.00</v>
      </c>
      <c r="J119" s="27" t="str">
        <f>VLOOKUP(B119,Sheet5!A119:J442,6,0)</f>
        <v>2018/03/04</v>
      </c>
      <c r="K119" s="27" t="str">
        <f>VLOOKUP(B119,Sheet5!A119:J442,7,0)</f>
        <v>易点租</v>
      </c>
      <c r="L119" s="27" t="str">
        <f>VLOOKUP(B119,Sheet5!A119:J442,8,0)</f>
        <v>i5</v>
      </c>
      <c r="M119" s="27" t="str">
        <f>VLOOKUP(B119,Sheet5!A119:J442,9,0)</f>
        <v>8G</v>
      </c>
      <c r="N119" s="27" t="str">
        <f>VLOOKUP(B119,Sheet5!A119:J442,10,0)</f>
        <v>500G</v>
      </c>
    </row>
    <row r="120" spans="1:14" x14ac:dyDescent="0.2">
      <c r="A120" s="14" t="s">
        <v>153</v>
      </c>
      <c r="B120" s="14" t="s">
        <v>578</v>
      </c>
      <c r="C120" s="14" t="s">
        <v>514</v>
      </c>
      <c r="D120" s="14" t="s">
        <v>689</v>
      </c>
      <c r="E120" s="14" t="s">
        <v>1200</v>
      </c>
      <c r="F120" s="27" t="str">
        <f>VLOOKUP(B120,Sheet5!A120:J443,2,0)</f>
        <v>笔记本电脑</v>
      </c>
      <c r="G120" s="27" t="str">
        <f>VLOOKUP(B120,Sheet5!A120:J443,3,0)</f>
        <v>ThinkPad</v>
      </c>
      <c r="H120" s="27" t="str">
        <f>VLOOKUP(B120,Sheet5!A120:J443,4,0)</f>
        <v>T440</v>
      </c>
      <c r="I120" s="27" t="str">
        <f>VLOOKUP(B120,Sheet5!A120:J443,5,0)</f>
        <v>115.00</v>
      </c>
      <c r="J120" s="27" t="str">
        <f>VLOOKUP(B120,Sheet5!A120:J443,6,0)</f>
        <v>2018/03/03</v>
      </c>
      <c r="K120" s="27" t="str">
        <f>VLOOKUP(B120,Sheet5!A120:J443,7,0)</f>
        <v>易点租</v>
      </c>
      <c r="L120" s="27" t="str">
        <f>VLOOKUP(B120,Sheet5!A120:J443,8,0)</f>
        <v/>
      </c>
      <c r="M120" s="27" t="str">
        <f>VLOOKUP(B120,Sheet5!A120:J443,9,0)</f>
        <v/>
      </c>
      <c r="N120" s="27" t="str">
        <f>VLOOKUP(B120,Sheet5!A120:J443,10,0)</f>
        <v/>
      </c>
    </row>
    <row r="121" spans="1:14" x14ac:dyDescent="0.2">
      <c r="A121" s="14" t="s">
        <v>154</v>
      </c>
      <c r="B121" s="14" t="s">
        <v>579</v>
      </c>
      <c r="C121" s="14">
        <v>8551</v>
      </c>
      <c r="D121" s="14" t="s">
        <v>689</v>
      </c>
      <c r="E121" s="14" t="s">
        <v>1200</v>
      </c>
      <c r="F121" s="27" t="str">
        <f>VLOOKUP(B121,Sheet5!A121:J444,2,0)</f>
        <v>笔记本电脑</v>
      </c>
      <c r="G121" s="27" t="str">
        <f>VLOOKUP(B121,Sheet5!A121:J444,3,0)</f>
        <v>ThinkPad</v>
      </c>
      <c r="H121" s="27" t="str">
        <f>VLOOKUP(B121,Sheet5!A121:J444,4,0)</f>
        <v>X240</v>
      </c>
      <c r="I121" s="27" t="str">
        <f>VLOOKUP(B121,Sheet5!A121:J444,5,0)</f>
        <v>115.00</v>
      </c>
      <c r="J121" s="27" t="str">
        <f>VLOOKUP(B121,Sheet5!A121:J444,6,0)</f>
        <v>2018/03/28</v>
      </c>
      <c r="K121" s="27" t="str">
        <f>VLOOKUP(B121,Sheet5!A121:J444,7,0)</f>
        <v>易点租</v>
      </c>
      <c r="L121" s="27" t="str">
        <f>VLOOKUP(B121,Sheet5!A121:J444,8,0)</f>
        <v>i5</v>
      </c>
      <c r="M121" s="27" t="str">
        <f>VLOOKUP(B121,Sheet5!A121:J444,9,0)</f>
        <v>8G</v>
      </c>
      <c r="N121" s="27" t="str">
        <f>VLOOKUP(B121,Sheet5!A121:J444,10,0)</f>
        <v>500G</v>
      </c>
    </row>
    <row r="122" spans="1:14" x14ac:dyDescent="0.2">
      <c r="A122" s="14" t="s">
        <v>155</v>
      </c>
      <c r="B122" s="14" t="s">
        <v>580</v>
      </c>
      <c r="C122" s="14">
        <v>5976</v>
      </c>
      <c r="D122" s="14" t="s">
        <v>689</v>
      </c>
      <c r="E122" s="14" t="s">
        <v>1200</v>
      </c>
      <c r="F122" s="27" t="e">
        <f>VLOOKUP(B122,Sheet5!A122:J445,2,0)</f>
        <v>#N/A</v>
      </c>
      <c r="G122" s="27" t="e">
        <f>VLOOKUP(B122,Sheet5!A122:J445,3,0)</f>
        <v>#N/A</v>
      </c>
      <c r="H122" s="27" t="e">
        <f>VLOOKUP(B122,Sheet5!A122:J445,4,0)</f>
        <v>#N/A</v>
      </c>
      <c r="I122" s="27" t="e">
        <f>VLOOKUP(B122,Sheet5!A122:J445,5,0)</f>
        <v>#N/A</v>
      </c>
      <c r="J122" s="27" t="e">
        <f>VLOOKUP(B122,Sheet5!A122:J445,6,0)</f>
        <v>#N/A</v>
      </c>
      <c r="K122" s="27" t="e">
        <f>VLOOKUP(B122,Sheet5!A122:J445,7,0)</f>
        <v>#N/A</v>
      </c>
      <c r="L122" s="27" t="e">
        <f>VLOOKUP(B122,Sheet5!A122:J445,8,0)</f>
        <v>#N/A</v>
      </c>
      <c r="M122" s="27" t="e">
        <f>VLOOKUP(B122,Sheet5!A122:J445,9,0)</f>
        <v>#N/A</v>
      </c>
      <c r="N122" s="27" t="e">
        <f>VLOOKUP(B122,Sheet5!A122:J445,10,0)</f>
        <v>#N/A</v>
      </c>
    </row>
    <row r="123" spans="1:14" x14ac:dyDescent="0.2">
      <c r="A123" s="14" t="s">
        <v>156</v>
      </c>
      <c r="B123" s="14" t="s">
        <v>581</v>
      </c>
      <c r="C123" s="14">
        <v>3968</v>
      </c>
      <c r="D123" s="14" t="s">
        <v>689</v>
      </c>
      <c r="E123" s="14" t="s">
        <v>1200</v>
      </c>
      <c r="F123" s="27" t="e">
        <f>VLOOKUP(B123,Sheet5!A123:J446,2,0)</f>
        <v>#N/A</v>
      </c>
      <c r="G123" s="27" t="e">
        <f>VLOOKUP(B123,Sheet5!A123:J446,3,0)</f>
        <v>#N/A</v>
      </c>
      <c r="H123" s="27" t="e">
        <f>VLOOKUP(B123,Sheet5!A123:J446,4,0)</f>
        <v>#N/A</v>
      </c>
      <c r="I123" s="27" t="e">
        <f>VLOOKUP(B123,Sheet5!A123:J446,5,0)</f>
        <v>#N/A</v>
      </c>
      <c r="J123" s="27" t="e">
        <f>VLOOKUP(B123,Sheet5!A123:J446,6,0)</f>
        <v>#N/A</v>
      </c>
      <c r="K123" s="27" t="e">
        <f>VLOOKUP(B123,Sheet5!A123:J446,7,0)</f>
        <v>#N/A</v>
      </c>
      <c r="L123" s="27" t="e">
        <f>VLOOKUP(B123,Sheet5!A123:J446,8,0)</f>
        <v>#N/A</v>
      </c>
      <c r="M123" s="27" t="e">
        <f>VLOOKUP(B123,Sheet5!A123:J446,9,0)</f>
        <v>#N/A</v>
      </c>
      <c r="N123" s="27" t="e">
        <f>VLOOKUP(B123,Sheet5!A123:J446,10,0)</f>
        <v>#N/A</v>
      </c>
    </row>
    <row r="124" spans="1:14" x14ac:dyDescent="0.2">
      <c r="A124" s="3" t="s">
        <v>157</v>
      </c>
      <c r="B124" s="3" t="s">
        <v>158</v>
      </c>
      <c r="C124" s="4">
        <v>14129</v>
      </c>
      <c r="D124" s="4" t="s">
        <v>689</v>
      </c>
      <c r="E124" s="4" t="s">
        <v>1201</v>
      </c>
      <c r="F124" s="27" t="str">
        <f>VLOOKUP(B124,Sheet5!A124:J447,2,0)</f>
        <v>笔记本电脑</v>
      </c>
      <c r="G124" s="27" t="str">
        <f>VLOOKUP(B124,Sheet5!A124:J447,3,0)</f>
        <v>戴尔/DELL</v>
      </c>
      <c r="H124" s="27" t="str">
        <f>VLOOKUP(B124,Sheet5!A124:J447,4,0)</f>
        <v>3490</v>
      </c>
      <c r="I124" s="27" t="str">
        <f>VLOOKUP(B124,Sheet5!A124:J447,5,0)</f>
        <v>95.00</v>
      </c>
      <c r="J124" s="27" t="str">
        <f>VLOOKUP(B124,Sheet5!A124:J447,6,0)</f>
        <v>2018/04/20</v>
      </c>
      <c r="K124" s="27" t="str">
        <f>VLOOKUP(B124,Sheet5!A124:J447,7,0)</f>
        <v>易点租</v>
      </c>
      <c r="L124" s="27" t="str">
        <f>VLOOKUP(B124,Sheet5!A124:J447,8,0)</f>
        <v/>
      </c>
      <c r="M124" s="27" t="str">
        <f>VLOOKUP(B124,Sheet5!A124:J447,9,0)</f>
        <v/>
      </c>
      <c r="N124" s="27" t="str">
        <f>VLOOKUP(B124,Sheet5!A124:J447,10,0)</f>
        <v/>
      </c>
    </row>
    <row r="125" spans="1:14" x14ac:dyDescent="0.2">
      <c r="A125" s="3" t="s">
        <v>159</v>
      </c>
      <c r="B125" s="3" t="s">
        <v>160</v>
      </c>
      <c r="C125" s="4">
        <v>6907</v>
      </c>
      <c r="D125" s="4" t="s">
        <v>689</v>
      </c>
      <c r="E125" s="4" t="s">
        <v>1201</v>
      </c>
      <c r="F125" s="27" t="str">
        <f>VLOOKUP(B125,Sheet5!A125:J448,2,0)</f>
        <v>笔记本电脑</v>
      </c>
      <c r="G125" s="27" t="str">
        <f>VLOOKUP(B125,Sheet5!A125:J448,3,0)</f>
        <v>戴尔/DELL</v>
      </c>
      <c r="H125" s="27" t="str">
        <f>VLOOKUP(B125,Sheet5!A125:J448,4,0)</f>
        <v>3490</v>
      </c>
      <c r="I125" s="27" t="str">
        <f>VLOOKUP(B125,Sheet5!A125:J448,5,0)</f>
        <v>95.00</v>
      </c>
      <c r="J125" s="27" t="str">
        <f>VLOOKUP(B125,Sheet5!A125:J448,6,0)</f>
        <v>2018/04/20</v>
      </c>
      <c r="K125" s="27" t="str">
        <f>VLOOKUP(B125,Sheet5!A125:J448,7,0)</f>
        <v>易点租</v>
      </c>
      <c r="L125" s="27" t="str">
        <f>VLOOKUP(B125,Sheet5!A125:J448,8,0)</f>
        <v/>
      </c>
      <c r="M125" s="27" t="str">
        <f>VLOOKUP(B125,Sheet5!A125:J448,9,0)</f>
        <v/>
      </c>
      <c r="N125" s="27" t="str">
        <f>VLOOKUP(B125,Sheet5!A125:J448,10,0)</f>
        <v/>
      </c>
    </row>
    <row r="126" spans="1:14" x14ac:dyDescent="0.2">
      <c r="A126" s="3" t="s">
        <v>161</v>
      </c>
      <c r="B126" s="3" t="s">
        <v>582</v>
      </c>
      <c r="C126" s="4">
        <v>4794</v>
      </c>
      <c r="D126" s="4" t="s">
        <v>689</v>
      </c>
      <c r="E126" s="4" t="s">
        <v>1201</v>
      </c>
      <c r="F126" s="27" t="e">
        <f>VLOOKUP(B126,Sheet5!A126:J449,2,0)</f>
        <v>#N/A</v>
      </c>
      <c r="G126" s="27" t="e">
        <f>VLOOKUP(B126,Sheet5!A126:J449,3,0)</f>
        <v>#N/A</v>
      </c>
      <c r="H126" s="27" t="e">
        <f>VLOOKUP(B126,Sheet5!A126:J449,4,0)</f>
        <v>#N/A</v>
      </c>
      <c r="I126" s="27" t="e">
        <f>VLOOKUP(B126,Sheet5!A126:J449,5,0)</f>
        <v>#N/A</v>
      </c>
      <c r="J126" s="27" t="e">
        <f>VLOOKUP(B126,Sheet5!A126:J449,6,0)</f>
        <v>#N/A</v>
      </c>
      <c r="K126" s="27" t="e">
        <f>VLOOKUP(B126,Sheet5!A126:J449,7,0)</f>
        <v>#N/A</v>
      </c>
      <c r="L126" s="27" t="e">
        <f>VLOOKUP(B126,Sheet5!A126:J449,8,0)</f>
        <v>#N/A</v>
      </c>
      <c r="M126" s="27" t="e">
        <f>VLOOKUP(B126,Sheet5!A126:J449,9,0)</f>
        <v>#N/A</v>
      </c>
      <c r="N126" s="27" t="e">
        <f>VLOOKUP(B126,Sheet5!A126:J449,10,0)</f>
        <v>#N/A</v>
      </c>
    </row>
    <row r="127" spans="1:14" x14ac:dyDescent="0.2">
      <c r="A127" s="3" t="s">
        <v>163</v>
      </c>
      <c r="B127" s="3"/>
      <c r="C127" s="4">
        <v>10908</v>
      </c>
      <c r="D127" s="4" t="s">
        <v>689</v>
      </c>
      <c r="E127" s="4" t="s">
        <v>1201</v>
      </c>
      <c r="F127" s="27" t="e">
        <f>VLOOKUP(B127,Sheet5!A127:J450,2,0)</f>
        <v>#N/A</v>
      </c>
      <c r="G127" s="27" t="e">
        <f>VLOOKUP(B127,Sheet5!A127:J450,3,0)</f>
        <v>#N/A</v>
      </c>
      <c r="H127" s="27" t="e">
        <f>VLOOKUP(B127,Sheet5!A127:J450,4,0)</f>
        <v>#N/A</v>
      </c>
      <c r="I127" s="27" t="e">
        <f>VLOOKUP(B127,Sheet5!A127:J450,5,0)</f>
        <v>#N/A</v>
      </c>
      <c r="J127" s="27" t="e">
        <f>VLOOKUP(B127,Sheet5!A127:J450,6,0)</f>
        <v>#N/A</v>
      </c>
      <c r="K127" s="27" t="e">
        <f>VLOOKUP(B127,Sheet5!A127:J450,7,0)</f>
        <v>#N/A</v>
      </c>
      <c r="L127" s="27" t="e">
        <f>VLOOKUP(B127,Sheet5!A127:J450,8,0)</f>
        <v>#N/A</v>
      </c>
      <c r="M127" s="27" t="e">
        <f>VLOOKUP(B127,Sheet5!A127:J450,9,0)</f>
        <v>#N/A</v>
      </c>
      <c r="N127" s="27" t="e">
        <f>VLOOKUP(B127,Sheet5!A127:J450,10,0)</f>
        <v>#N/A</v>
      </c>
    </row>
    <row r="128" spans="1:14" x14ac:dyDescent="0.2">
      <c r="A128" s="3" t="s">
        <v>164</v>
      </c>
      <c r="B128" s="3" t="s">
        <v>583</v>
      </c>
      <c r="C128" s="4">
        <v>1519</v>
      </c>
      <c r="D128" s="4" t="s">
        <v>689</v>
      </c>
      <c r="E128" s="4" t="s">
        <v>1201</v>
      </c>
      <c r="F128" s="27" t="str">
        <f>VLOOKUP(B128,Sheet5!A128:J451,2,0)</f>
        <v>笔记本电脑</v>
      </c>
      <c r="G128" s="27" t="str">
        <f>VLOOKUP(B128,Sheet5!A128:J451,3,0)</f>
        <v>ThinkPad</v>
      </c>
      <c r="H128" s="27" t="str">
        <f>VLOOKUP(B128,Sheet5!A128:J451,4,0)</f>
        <v>X240</v>
      </c>
      <c r="I128" s="27" t="str">
        <f>VLOOKUP(B128,Sheet5!A128:J451,5,0)</f>
        <v>195.00</v>
      </c>
      <c r="J128" s="27" t="str">
        <f>VLOOKUP(B128,Sheet5!A128:J451,6,0)</f>
        <v>2018/02/27</v>
      </c>
      <c r="K128" s="27" t="str">
        <f>VLOOKUP(B128,Sheet5!A128:J451,7,0)</f>
        <v>易点租</v>
      </c>
      <c r="L128" s="27" t="str">
        <f>VLOOKUP(B128,Sheet5!A128:J451,8,0)</f>
        <v>i5</v>
      </c>
      <c r="M128" s="27" t="str">
        <f>VLOOKUP(B128,Sheet5!A128:J451,9,0)</f>
        <v>8G</v>
      </c>
      <c r="N128" s="27" t="str">
        <f>VLOOKUP(B128,Sheet5!A128:J451,10,0)</f>
        <v>240G</v>
      </c>
    </row>
    <row r="129" spans="1:14" x14ac:dyDescent="0.2">
      <c r="A129" s="3" t="s">
        <v>165</v>
      </c>
      <c r="B129" s="3"/>
      <c r="C129" s="4">
        <v>3803</v>
      </c>
      <c r="D129" s="4" t="s">
        <v>689</v>
      </c>
      <c r="E129" s="4" t="s">
        <v>1201</v>
      </c>
      <c r="F129" s="27" t="e">
        <f>VLOOKUP(B129,Sheet5!A129:J452,2,0)</f>
        <v>#N/A</v>
      </c>
      <c r="G129" s="27" t="e">
        <f>VLOOKUP(B129,Sheet5!A129:J452,3,0)</f>
        <v>#N/A</v>
      </c>
      <c r="H129" s="27" t="e">
        <f>VLOOKUP(B129,Sheet5!A129:J452,4,0)</f>
        <v>#N/A</v>
      </c>
      <c r="I129" s="27" t="e">
        <f>VLOOKUP(B129,Sheet5!A129:J452,5,0)</f>
        <v>#N/A</v>
      </c>
      <c r="J129" s="27" t="e">
        <f>VLOOKUP(B129,Sheet5!A129:J452,6,0)</f>
        <v>#N/A</v>
      </c>
      <c r="K129" s="27" t="e">
        <f>VLOOKUP(B129,Sheet5!A129:J452,7,0)</f>
        <v>#N/A</v>
      </c>
      <c r="L129" s="27" t="e">
        <f>VLOOKUP(B129,Sheet5!A129:J452,8,0)</f>
        <v>#N/A</v>
      </c>
      <c r="M129" s="27" t="e">
        <f>VLOOKUP(B129,Sheet5!A129:J452,9,0)</f>
        <v>#N/A</v>
      </c>
      <c r="N129" s="27" t="e">
        <f>VLOOKUP(B129,Sheet5!A129:J452,10,0)</f>
        <v>#N/A</v>
      </c>
    </row>
    <row r="130" spans="1:14" x14ac:dyDescent="0.2">
      <c r="A130" s="3" t="s">
        <v>166</v>
      </c>
      <c r="B130" s="3" t="s">
        <v>584</v>
      </c>
      <c r="C130" s="4">
        <v>4445</v>
      </c>
      <c r="D130" s="4" t="s">
        <v>689</v>
      </c>
      <c r="E130" s="4" t="s">
        <v>1201</v>
      </c>
      <c r="F130" s="27" t="str">
        <f>VLOOKUP(B130,Sheet5!A130:J453,2,0)</f>
        <v>笔记本电脑</v>
      </c>
      <c r="G130" s="27" t="str">
        <f>VLOOKUP(B130,Sheet5!A130:J453,3,0)</f>
        <v>ThinkPad</v>
      </c>
      <c r="H130" s="27" t="str">
        <f>VLOOKUP(B130,Sheet5!A130:J453,4,0)</f>
        <v>X220</v>
      </c>
      <c r="I130" s="27" t="str">
        <f>VLOOKUP(B130,Sheet5!A130:J453,5,0)</f>
        <v>110.00</v>
      </c>
      <c r="J130" s="27" t="str">
        <f>VLOOKUP(B130,Sheet5!A130:J453,6,0)</f>
        <v>2018/03/25</v>
      </c>
      <c r="K130" s="27" t="str">
        <f>VLOOKUP(B130,Sheet5!A130:J453,7,0)</f>
        <v>易点租</v>
      </c>
      <c r="L130" s="27" t="str">
        <f>VLOOKUP(B130,Sheet5!A130:J453,8,0)</f>
        <v>i5</v>
      </c>
      <c r="M130" s="27" t="str">
        <f>VLOOKUP(B130,Sheet5!A130:J453,9,0)</f>
        <v>8G</v>
      </c>
      <c r="N130" s="27" t="str">
        <f>VLOOKUP(B130,Sheet5!A130:J453,10,0)</f>
        <v>500G</v>
      </c>
    </row>
    <row r="131" spans="1:14" x14ac:dyDescent="0.2">
      <c r="A131" s="3" t="s">
        <v>167</v>
      </c>
      <c r="B131" s="3" t="s">
        <v>585</v>
      </c>
      <c r="C131" s="4">
        <v>16053</v>
      </c>
      <c r="D131" s="4" t="s">
        <v>689</v>
      </c>
      <c r="E131" s="4" t="s">
        <v>1201</v>
      </c>
      <c r="F131" s="27" t="e">
        <f>VLOOKUP(B131,Sheet5!A131:J454,2,0)</f>
        <v>#N/A</v>
      </c>
      <c r="G131" s="27" t="e">
        <f>VLOOKUP(B131,Sheet5!A131:J454,3,0)</f>
        <v>#N/A</v>
      </c>
      <c r="H131" s="27" t="e">
        <f>VLOOKUP(B131,Sheet5!A131:J454,4,0)</f>
        <v>#N/A</v>
      </c>
      <c r="I131" s="27" t="e">
        <f>VLOOKUP(B131,Sheet5!A131:J454,5,0)</f>
        <v>#N/A</v>
      </c>
      <c r="J131" s="27" t="e">
        <f>VLOOKUP(B131,Sheet5!A131:J454,6,0)</f>
        <v>#N/A</v>
      </c>
      <c r="K131" s="27" t="e">
        <f>VLOOKUP(B131,Sheet5!A131:J454,7,0)</f>
        <v>#N/A</v>
      </c>
      <c r="L131" s="27" t="e">
        <f>VLOOKUP(B131,Sheet5!A131:J454,8,0)</f>
        <v>#N/A</v>
      </c>
      <c r="M131" s="27" t="e">
        <f>VLOOKUP(B131,Sheet5!A131:J454,9,0)</f>
        <v>#N/A</v>
      </c>
      <c r="N131" s="27" t="e">
        <f>VLOOKUP(B131,Sheet5!A131:J454,10,0)</f>
        <v>#N/A</v>
      </c>
    </row>
    <row r="132" spans="1:14" x14ac:dyDescent="0.2">
      <c r="A132" s="3" t="s">
        <v>168</v>
      </c>
      <c r="B132" s="3" t="s">
        <v>586</v>
      </c>
      <c r="C132" s="4">
        <v>8741</v>
      </c>
      <c r="D132" s="4" t="s">
        <v>689</v>
      </c>
      <c r="E132" s="4" t="s">
        <v>1201</v>
      </c>
      <c r="F132" s="27" t="e">
        <f>VLOOKUP(B132,Sheet5!A132:J455,2,0)</f>
        <v>#N/A</v>
      </c>
      <c r="G132" s="27" t="e">
        <f>VLOOKUP(B132,Sheet5!A132:J455,3,0)</f>
        <v>#N/A</v>
      </c>
      <c r="H132" s="27" t="e">
        <f>VLOOKUP(B132,Sheet5!A132:J455,4,0)</f>
        <v>#N/A</v>
      </c>
      <c r="I132" s="27" t="e">
        <f>VLOOKUP(B132,Sheet5!A132:J455,5,0)</f>
        <v>#N/A</v>
      </c>
      <c r="J132" s="27" t="e">
        <f>VLOOKUP(B132,Sheet5!A132:J455,6,0)</f>
        <v>#N/A</v>
      </c>
      <c r="K132" s="27" t="e">
        <f>VLOOKUP(B132,Sheet5!A132:J455,7,0)</f>
        <v>#N/A</v>
      </c>
      <c r="L132" s="27" t="e">
        <f>VLOOKUP(B132,Sheet5!A132:J455,8,0)</f>
        <v>#N/A</v>
      </c>
      <c r="M132" s="27" t="e">
        <f>VLOOKUP(B132,Sheet5!A132:J455,9,0)</f>
        <v>#N/A</v>
      </c>
      <c r="N132" s="27" t="e">
        <f>VLOOKUP(B132,Sheet5!A132:J455,10,0)</f>
        <v>#N/A</v>
      </c>
    </row>
    <row r="133" spans="1:14" x14ac:dyDescent="0.2">
      <c r="A133" s="3" t="s">
        <v>169</v>
      </c>
      <c r="B133" s="3" t="s">
        <v>587</v>
      </c>
      <c r="C133" s="4">
        <v>21457</v>
      </c>
      <c r="D133" s="4" t="s">
        <v>689</v>
      </c>
      <c r="E133" s="4" t="s">
        <v>1201</v>
      </c>
      <c r="F133" s="27" t="e">
        <f>VLOOKUP(B133,Sheet5!A133:J456,2,0)</f>
        <v>#N/A</v>
      </c>
      <c r="G133" s="27" t="e">
        <f>VLOOKUP(B133,Sheet5!A133:J456,3,0)</f>
        <v>#N/A</v>
      </c>
      <c r="H133" s="27" t="e">
        <f>VLOOKUP(B133,Sheet5!A133:J456,4,0)</f>
        <v>#N/A</v>
      </c>
      <c r="I133" s="27" t="e">
        <f>VLOOKUP(B133,Sheet5!A133:J456,5,0)</f>
        <v>#N/A</v>
      </c>
      <c r="J133" s="27" t="e">
        <f>VLOOKUP(B133,Sheet5!A133:J456,6,0)</f>
        <v>#N/A</v>
      </c>
      <c r="K133" s="27" t="e">
        <f>VLOOKUP(B133,Sheet5!A133:J456,7,0)</f>
        <v>#N/A</v>
      </c>
      <c r="L133" s="27" t="e">
        <f>VLOOKUP(B133,Sheet5!A133:J456,8,0)</f>
        <v>#N/A</v>
      </c>
      <c r="M133" s="27" t="e">
        <f>VLOOKUP(B133,Sheet5!A133:J456,9,0)</f>
        <v>#N/A</v>
      </c>
      <c r="N133" s="27" t="e">
        <f>VLOOKUP(B133,Sheet5!A133:J456,10,0)</f>
        <v>#N/A</v>
      </c>
    </row>
    <row r="134" spans="1:14" x14ac:dyDescent="0.2">
      <c r="A134" s="3" t="s">
        <v>170</v>
      </c>
      <c r="B134" s="3" t="s">
        <v>1792</v>
      </c>
      <c r="C134" s="4">
        <v>14641</v>
      </c>
      <c r="D134" s="4" t="s">
        <v>689</v>
      </c>
      <c r="E134" s="4" t="s">
        <v>1201</v>
      </c>
      <c r="F134" s="27" t="e">
        <f>VLOOKUP(B134,Sheet5!A134:J457,2,0)</f>
        <v>#N/A</v>
      </c>
      <c r="G134" s="27" t="e">
        <f>VLOOKUP(B134,Sheet5!A134:J457,3,0)</f>
        <v>#N/A</v>
      </c>
      <c r="H134" s="27" t="e">
        <f>VLOOKUP(B134,Sheet5!A134:J457,4,0)</f>
        <v>#N/A</v>
      </c>
      <c r="I134" s="27" t="e">
        <f>VLOOKUP(B134,Sheet5!A134:J457,5,0)</f>
        <v>#N/A</v>
      </c>
      <c r="J134" s="27" t="e">
        <f>VLOOKUP(B134,Sheet5!A134:J457,6,0)</f>
        <v>#N/A</v>
      </c>
      <c r="K134" s="27" t="e">
        <f>VLOOKUP(B134,Sheet5!A134:J457,7,0)</f>
        <v>#N/A</v>
      </c>
      <c r="L134" s="27" t="e">
        <f>VLOOKUP(B134,Sheet5!A134:J457,8,0)</f>
        <v>#N/A</v>
      </c>
      <c r="M134" s="27" t="e">
        <f>VLOOKUP(B134,Sheet5!A134:J457,9,0)</f>
        <v>#N/A</v>
      </c>
      <c r="N134" s="27" t="e">
        <f>VLOOKUP(B134,Sheet5!A134:J457,10,0)</f>
        <v>#N/A</v>
      </c>
    </row>
    <row r="135" spans="1:14" x14ac:dyDescent="0.2">
      <c r="A135" s="3" t="s">
        <v>171</v>
      </c>
      <c r="B135" s="3" t="s">
        <v>588</v>
      </c>
      <c r="C135" s="4">
        <v>21010</v>
      </c>
      <c r="D135" s="4" t="s">
        <v>689</v>
      </c>
      <c r="E135" s="4" t="s">
        <v>1201</v>
      </c>
      <c r="F135" s="27" t="e">
        <f>VLOOKUP(B135,Sheet5!A135:J458,2,0)</f>
        <v>#N/A</v>
      </c>
      <c r="G135" s="27" t="e">
        <f>VLOOKUP(B135,Sheet5!A135:J458,3,0)</f>
        <v>#N/A</v>
      </c>
      <c r="H135" s="27" t="e">
        <f>VLOOKUP(B135,Sheet5!A135:J458,4,0)</f>
        <v>#N/A</v>
      </c>
      <c r="I135" s="27" t="e">
        <f>VLOOKUP(B135,Sheet5!A135:J458,5,0)</f>
        <v>#N/A</v>
      </c>
      <c r="J135" s="27" t="e">
        <f>VLOOKUP(B135,Sheet5!A135:J458,6,0)</f>
        <v>#N/A</v>
      </c>
      <c r="K135" s="27" t="e">
        <f>VLOOKUP(B135,Sheet5!A135:J458,7,0)</f>
        <v>#N/A</v>
      </c>
      <c r="L135" s="27" t="e">
        <f>VLOOKUP(B135,Sheet5!A135:J458,8,0)</f>
        <v>#N/A</v>
      </c>
      <c r="M135" s="27" t="e">
        <f>VLOOKUP(B135,Sheet5!A135:J458,9,0)</f>
        <v>#N/A</v>
      </c>
      <c r="N135" s="27" t="e">
        <f>VLOOKUP(B135,Sheet5!A135:J458,10,0)</f>
        <v>#N/A</v>
      </c>
    </row>
    <row r="136" spans="1:14" x14ac:dyDescent="0.2">
      <c r="A136" s="3" t="s">
        <v>172</v>
      </c>
      <c r="B136" s="3" t="s">
        <v>589</v>
      </c>
      <c r="C136" s="4">
        <v>5754</v>
      </c>
      <c r="D136" s="4" t="s">
        <v>689</v>
      </c>
      <c r="E136" s="4" t="s">
        <v>1201</v>
      </c>
      <c r="F136" s="27" t="e">
        <f>VLOOKUP(B136,Sheet5!A136:J459,2,0)</f>
        <v>#N/A</v>
      </c>
      <c r="G136" s="27" t="e">
        <f>VLOOKUP(B136,Sheet5!A136:J459,3,0)</f>
        <v>#N/A</v>
      </c>
      <c r="H136" s="27" t="e">
        <f>VLOOKUP(B136,Sheet5!A136:J459,4,0)</f>
        <v>#N/A</v>
      </c>
      <c r="I136" s="27" t="e">
        <f>VLOOKUP(B136,Sheet5!A136:J459,5,0)</f>
        <v>#N/A</v>
      </c>
      <c r="J136" s="27" t="e">
        <f>VLOOKUP(B136,Sheet5!A136:J459,6,0)</f>
        <v>#N/A</v>
      </c>
      <c r="K136" s="27" t="e">
        <f>VLOOKUP(B136,Sheet5!A136:J459,7,0)</f>
        <v>#N/A</v>
      </c>
      <c r="L136" s="27" t="e">
        <f>VLOOKUP(B136,Sheet5!A136:J459,8,0)</f>
        <v>#N/A</v>
      </c>
      <c r="M136" s="27" t="e">
        <f>VLOOKUP(B136,Sheet5!A136:J459,9,0)</f>
        <v>#N/A</v>
      </c>
      <c r="N136" s="27" t="e">
        <f>VLOOKUP(B136,Sheet5!A136:J459,10,0)</f>
        <v>#N/A</v>
      </c>
    </row>
    <row r="137" spans="1:14" x14ac:dyDescent="0.2">
      <c r="A137" s="3" t="s">
        <v>173</v>
      </c>
      <c r="B137" s="3" t="s">
        <v>590</v>
      </c>
      <c r="C137" s="4">
        <v>4420</v>
      </c>
      <c r="D137" s="4" t="s">
        <v>689</v>
      </c>
      <c r="E137" s="4" t="s">
        <v>1201</v>
      </c>
      <c r="F137" s="27" t="e">
        <f>VLOOKUP(B137,Sheet5!A137:J460,2,0)</f>
        <v>#N/A</v>
      </c>
      <c r="G137" s="27" t="e">
        <f>VLOOKUP(B137,Sheet5!A137:J460,3,0)</f>
        <v>#N/A</v>
      </c>
      <c r="H137" s="27" t="e">
        <f>VLOOKUP(B137,Sheet5!A137:J460,4,0)</f>
        <v>#N/A</v>
      </c>
      <c r="I137" s="27" t="e">
        <f>VLOOKUP(B137,Sheet5!A137:J460,5,0)</f>
        <v>#N/A</v>
      </c>
      <c r="J137" s="27" t="e">
        <f>VLOOKUP(B137,Sheet5!A137:J460,6,0)</f>
        <v>#N/A</v>
      </c>
      <c r="K137" s="27" t="e">
        <f>VLOOKUP(B137,Sheet5!A137:J460,7,0)</f>
        <v>#N/A</v>
      </c>
      <c r="L137" s="27" t="e">
        <f>VLOOKUP(B137,Sheet5!A137:J460,8,0)</f>
        <v>#N/A</v>
      </c>
      <c r="M137" s="27" t="e">
        <f>VLOOKUP(B137,Sheet5!A137:J460,9,0)</f>
        <v>#N/A</v>
      </c>
      <c r="N137" s="27" t="e">
        <f>VLOOKUP(B137,Sheet5!A137:J460,10,0)</f>
        <v>#N/A</v>
      </c>
    </row>
    <row r="138" spans="1:14" x14ac:dyDescent="0.2">
      <c r="A138" s="3" t="s">
        <v>174</v>
      </c>
      <c r="B138" s="3" t="s">
        <v>591</v>
      </c>
      <c r="C138" s="4">
        <v>16902</v>
      </c>
      <c r="D138" s="4" t="s">
        <v>689</v>
      </c>
      <c r="E138" s="4" t="s">
        <v>1201</v>
      </c>
      <c r="F138" s="27" t="str">
        <f>VLOOKUP(B138,Sheet5!A138:J461,2,0)</f>
        <v>笔记本电脑</v>
      </c>
      <c r="G138" s="27" t="str">
        <f>VLOOKUP(B138,Sheet5!A138:J461,3,0)</f>
        <v>ThinkPad</v>
      </c>
      <c r="H138" s="27" t="str">
        <f>VLOOKUP(B138,Sheet5!A138:J461,4,0)</f>
        <v>X220</v>
      </c>
      <c r="I138" s="27" t="str">
        <f>VLOOKUP(B138,Sheet5!A138:J461,5,0)</f>
        <v>110.00</v>
      </c>
      <c r="J138" s="27" t="str">
        <f>VLOOKUP(B138,Sheet5!A138:J461,6,0)</f>
        <v>2018/02/08</v>
      </c>
      <c r="K138" s="27" t="str">
        <f>VLOOKUP(B138,Sheet5!A138:J461,7,0)</f>
        <v>易点租</v>
      </c>
      <c r="L138" s="27" t="str">
        <f>VLOOKUP(B138,Sheet5!A138:J461,8,0)</f>
        <v>i5</v>
      </c>
      <c r="M138" s="27" t="str">
        <f>VLOOKUP(B138,Sheet5!A138:J461,9,0)</f>
        <v>8G</v>
      </c>
      <c r="N138" s="27" t="str">
        <f>VLOOKUP(B138,Sheet5!A138:J461,10,0)</f>
        <v>500G</v>
      </c>
    </row>
    <row r="139" spans="1:14" x14ac:dyDescent="0.2">
      <c r="A139" s="3" t="s">
        <v>175</v>
      </c>
      <c r="B139" s="3" t="s">
        <v>592</v>
      </c>
      <c r="C139" s="4">
        <v>9360</v>
      </c>
      <c r="D139" s="4" t="s">
        <v>689</v>
      </c>
      <c r="E139" s="4" t="s">
        <v>1201</v>
      </c>
      <c r="F139" s="27" t="str">
        <f>VLOOKUP(B139,Sheet5!A139:J462,2,0)</f>
        <v>笔记本电脑</v>
      </c>
      <c r="G139" s="27" t="str">
        <f>VLOOKUP(B139,Sheet5!A139:J462,3,0)</f>
        <v>ThinkPad</v>
      </c>
      <c r="H139" s="27" t="str">
        <f>VLOOKUP(B139,Sheet5!A139:J462,4,0)</f>
        <v>T440</v>
      </c>
      <c r="I139" s="27" t="str">
        <f>VLOOKUP(B139,Sheet5!A139:J462,5,0)</f>
        <v>115.00</v>
      </c>
      <c r="J139" s="27" t="str">
        <f>VLOOKUP(B139,Sheet5!A139:J462,6,0)</f>
        <v>2018/03/03</v>
      </c>
      <c r="K139" s="27" t="str">
        <f>VLOOKUP(B139,Sheet5!A139:J462,7,0)</f>
        <v>易点租</v>
      </c>
      <c r="L139" s="27" t="str">
        <f>VLOOKUP(B139,Sheet5!A139:J462,8,0)</f>
        <v/>
      </c>
      <c r="M139" s="27" t="str">
        <f>VLOOKUP(B139,Sheet5!A139:J462,9,0)</f>
        <v/>
      </c>
      <c r="N139" s="27" t="str">
        <f>VLOOKUP(B139,Sheet5!A139:J462,10,0)</f>
        <v/>
      </c>
    </row>
    <row r="140" spans="1:14" x14ac:dyDescent="0.2">
      <c r="A140" s="3" t="s">
        <v>231</v>
      </c>
      <c r="B140" s="3" t="s">
        <v>593</v>
      </c>
      <c r="C140" s="4">
        <v>20629</v>
      </c>
      <c r="D140" s="4" t="s">
        <v>689</v>
      </c>
      <c r="E140" s="4" t="s">
        <v>1201</v>
      </c>
      <c r="F140" s="27" t="str">
        <f>VLOOKUP(B140,Sheet5!A140:J463,2,0)</f>
        <v>笔记本电脑</v>
      </c>
      <c r="G140" s="27" t="str">
        <f>VLOOKUP(B140,Sheet5!A140:J463,3,0)</f>
        <v>ThinkPad</v>
      </c>
      <c r="H140" s="27" t="str">
        <f>VLOOKUP(B140,Sheet5!A140:J463,4,0)</f>
        <v>T410</v>
      </c>
      <c r="I140" s="27" t="str">
        <f>VLOOKUP(B140,Sheet5!A140:J463,5,0)</f>
        <v>85.00</v>
      </c>
      <c r="J140" s="27" t="str">
        <f>VLOOKUP(B140,Sheet5!A140:J463,6,0)</f>
        <v>2018/03/16</v>
      </c>
      <c r="K140" s="27" t="str">
        <f>VLOOKUP(B140,Sheet5!A140:J463,7,0)</f>
        <v>易点租</v>
      </c>
      <c r="L140" s="27" t="str">
        <f>VLOOKUP(B140,Sheet5!A140:J463,8,0)</f>
        <v>i5</v>
      </c>
      <c r="M140" s="27" t="str">
        <f>VLOOKUP(B140,Sheet5!A140:J463,9,0)</f>
        <v>8G</v>
      </c>
      <c r="N140" s="27" t="str">
        <f>VLOOKUP(B140,Sheet5!A140:J463,10,0)</f>
        <v>320G</v>
      </c>
    </row>
    <row r="141" spans="1:14" x14ac:dyDescent="0.2">
      <c r="A141" s="3" t="s">
        <v>175</v>
      </c>
      <c r="B141" s="3" t="s">
        <v>1197</v>
      </c>
      <c r="C141" s="4">
        <v>9360</v>
      </c>
      <c r="D141" s="4" t="s">
        <v>689</v>
      </c>
      <c r="E141" s="4" t="s">
        <v>1201</v>
      </c>
      <c r="F141" s="27" t="e">
        <f>VLOOKUP(B141,Sheet5!A141:J464,2,0)</f>
        <v>#N/A</v>
      </c>
      <c r="G141" s="27" t="e">
        <f>VLOOKUP(B141,Sheet5!A141:J464,3,0)</f>
        <v>#N/A</v>
      </c>
      <c r="H141" s="27" t="e">
        <f>VLOOKUP(B141,Sheet5!A141:J464,4,0)</f>
        <v>#N/A</v>
      </c>
      <c r="I141" s="27" t="e">
        <f>VLOOKUP(B141,Sheet5!A141:J464,5,0)</f>
        <v>#N/A</v>
      </c>
      <c r="J141" s="27" t="e">
        <f>VLOOKUP(B141,Sheet5!A141:J464,6,0)</f>
        <v>#N/A</v>
      </c>
      <c r="K141" s="27" t="e">
        <f>VLOOKUP(B141,Sheet5!A141:J464,7,0)</f>
        <v>#N/A</v>
      </c>
      <c r="L141" s="27" t="e">
        <f>VLOOKUP(B141,Sheet5!A141:J464,8,0)</f>
        <v>#N/A</v>
      </c>
      <c r="M141" s="27" t="e">
        <f>VLOOKUP(B141,Sheet5!A141:J464,9,0)</f>
        <v>#N/A</v>
      </c>
      <c r="N141" s="27" t="e">
        <f>VLOOKUP(B141,Sheet5!A141:J464,10,0)</f>
        <v>#N/A</v>
      </c>
    </row>
    <row r="142" spans="1:14" x14ac:dyDescent="0.2">
      <c r="A142" s="3" t="s">
        <v>176</v>
      </c>
      <c r="B142" s="3" t="s">
        <v>177</v>
      </c>
      <c r="C142" s="4">
        <v>13257</v>
      </c>
      <c r="D142" s="4" t="s">
        <v>689</v>
      </c>
      <c r="E142" s="4" t="s">
        <v>1201</v>
      </c>
      <c r="F142" s="27" t="e">
        <f>VLOOKUP(B142,Sheet5!A142:J465,2,0)</f>
        <v>#N/A</v>
      </c>
      <c r="G142" s="27" t="e">
        <f>VLOOKUP(B142,Sheet5!A142:J465,3,0)</f>
        <v>#N/A</v>
      </c>
      <c r="H142" s="27" t="e">
        <f>VLOOKUP(B142,Sheet5!A142:J465,4,0)</f>
        <v>#N/A</v>
      </c>
      <c r="I142" s="27" t="e">
        <f>VLOOKUP(B142,Sheet5!A142:J465,5,0)</f>
        <v>#N/A</v>
      </c>
      <c r="J142" s="27" t="e">
        <f>VLOOKUP(B142,Sheet5!A142:J465,6,0)</f>
        <v>#N/A</v>
      </c>
      <c r="K142" s="27" t="e">
        <f>VLOOKUP(B142,Sheet5!A142:J465,7,0)</f>
        <v>#N/A</v>
      </c>
      <c r="L142" s="27" t="e">
        <f>VLOOKUP(B142,Sheet5!A142:J465,8,0)</f>
        <v>#N/A</v>
      </c>
      <c r="M142" s="27" t="e">
        <f>VLOOKUP(B142,Sheet5!A142:J465,9,0)</f>
        <v>#N/A</v>
      </c>
      <c r="N142" s="27" t="e">
        <f>VLOOKUP(B142,Sheet5!A142:J465,10,0)</f>
        <v>#N/A</v>
      </c>
    </row>
    <row r="143" spans="1:14" x14ac:dyDescent="0.2">
      <c r="A143" s="3" t="s">
        <v>178</v>
      </c>
      <c r="B143" s="3" t="s">
        <v>594</v>
      </c>
      <c r="C143" s="4">
        <v>18719</v>
      </c>
      <c r="D143" s="4" t="s">
        <v>689</v>
      </c>
      <c r="E143" s="4" t="s">
        <v>1201</v>
      </c>
      <c r="F143" s="27" t="e">
        <f>VLOOKUP(B143,Sheet5!A143:J466,2,0)</f>
        <v>#N/A</v>
      </c>
      <c r="G143" s="27" t="e">
        <f>VLOOKUP(B143,Sheet5!A143:J466,3,0)</f>
        <v>#N/A</v>
      </c>
      <c r="H143" s="27" t="e">
        <f>VLOOKUP(B143,Sheet5!A143:J466,4,0)</f>
        <v>#N/A</v>
      </c>
      <c r="I143" s="27" t="e">
        <f>VLOOKUP(B143,Sheet5!A143:J466,5,0)</f>
        <v>#N/A</v>
      </c>
      <c r="J143" s="27" t="e">
        <f>VLOOKUP(B143,Sheet5!A143:J466,6,0)</f>
        <v>#N/A</v>
      </c>
      <c r="K143" s="27" t="e">
        <f>VLOOKUP(B143,Sheet5!A143:J466,7,0)</f>
        <v>#N/A</v>
      </c>
      <c r="L143" s="27" t="e">
        <f>VLOOKUP(B143,Sheet5!A143:J466,8,0)</f>
        <v>#N/A</v>
      </c>
      <c r="M143" s="27" t="e">
        <f>VLOOKUP(B143,Sheet5!A143:J466,9,0)</f>
        <v>#N/A</v>
      </c>
      <c r="N143" s="27" t="e">
        <f>VLOOKUP(B143,Sheet5!A143:J466,10,0)</f>
        <v>#N/A</v>
      </c>
    </row>
    <row r="144" spans="1:14" x14ac:dyDescent="0.2">
      <c r="A144" s="3" t="s">
        <v>178</v>
      </c>
      <c r="B144" s="3" t="s">
        <v>1197</v>
      </c>
      <c r="C144" s="4">
        <v>18719</v>
      </c>
      <c r="D144" s="4" t="s">
        <v>689</v>
      </c>
      <c r="E144" s="4" t="s">
        <v>1201</v>
      </c>
      <c r="F144" s="27" t="e">
        <f>VLOOKUP(B144,Sheet5!A144:J467,2,0)</f>
        <v>#N/A</v>
      </c>
      <c r="G144" s="27" t="e">
        <f>VLOOKUP(B144,Sheet5!A144:J467,3,0)</f>
        <v>#N/A</v>
      </c>
      <c r="H144" s="27" t="e">
        <f>VLOOKUP(B144,Sheet5!A144:J467,4,0)</f>
        <v>#N/A</v>
      </c>
      <c r="I144" s="27" t="e">
        <f>VLOOKUP(B144,Sheet5!A144:J467,5,0)</f>
        <v>#N/A</v>
      </c>
      <c r="J144" s="27" t="e">
        <f>VLOOKUP(B144,Sheet5!A144:J467,6,0)</f>
        <v>#N/A</v>
      </c>
      <c r="K144" s="27" t="e">
        <f>VLOOKUP(B144,Sheet5!A144:J467,7,0)</f>
        <v>#N/A</v>
      </c>
      <c r="L144" s="27" t="e">
        <f>VLOOKUP(B144,Sheet5!A144:J467,8,0)</f>
        <v>#N/A</v>
      </c>
      <c r="M144" s="27" t="e">
        <f>VLOOKUP(B144,Sheet5!A144:J467,9,0)</f>
        <v>#N/A</v>
      </c>
      <c r="N144" s="27" t="e">
        <f>VLOOKUP(B144,Sheet5!A144:J467,10,0)</f>
        <v>#N/A</v>
      </c>
    </row>
    <row r="145" spans="1:14" x14ac:dyDescent="0.2">
      <c r="A145" s="3" t="s">
        <v>179</v>
      </c>
      <c r="B145" s="3" t="s">
        <v>595</v>
      </c>
      <c r="C145" s="4">
        <v>7735</v>
      </c>
      <c r="D145" s="4" t="s">
        <v>689</v>
      </c>
      <c r="E145" s="4" t="s">
        <v>1201</v>
      </c>
      <c r="F145" s="27" t="e">
        <f>VLOOKUP(B145,Sheet5!A145:J468,2,0)</f>
        <v>#N/A</v>
      </c>
      <c r="G145" s="27" t="e">
        <f>VLOOKUP(B145,Sheet5!A145:J468,3,0)</f>
        <v>#N/A</v>
      </c>
      <c r="H145" s="27" t="e">
        <f>VLOOKUP(B145,Sheet5!A145:J468,4,0)</f>
        <v>#N/A</v>
      </c>
      <c r="I145" s="27" t="e">
        <f>VLOOKUP(B145,Sheet5!A145:J468,5,0)</f>
        <v>#N/A</v>
      </c>
      <c r="J145" s="27" t="e">
        <f>VLOOKUP(B145,Sheet5!A145:J468,6,0)</f>
        <v>#N/A</v>
      </c>
      <c r="K145" s="27" t="e">
        <f>VLOOKUP(B145,Sheet5!A145:J468,7,0)</f>
        <v>#N/A</v>
      </c>
      <c r="L145" s="27" t="e">
        <f>VLOOKUP(B145,Sheet5!A145:J468,8,0)</f>
        <v>#N/A</v>
      </c>
      <c r="M145" s="27" t="e">
        <f>VLOOKUP(B145,Sheet5!A145:J468,9,0)</f>
        <v>#N/A</v>
      </c>
      <c r="N145" s="27" t="e">
        <f>VLOOKUP(B145,Sheet5!A145:J468,10,0)</f>
        <v>#N/A</v>
      </c>
    </row>
    <row r="146" spans="1:14" x14ac:dyDescent="0.2">
      <c r="A146" s="3" t="s">
        <v>180</v>
      </c>
      <c r="B146" s="3" t="s">
        <v>181</v>
      </c>
      <c r="C146" s="4" t="s">
        <v>515</v>
      </c>
      <c r="D146" s="4" t="s">
        <v>689</v>
      </c>
      <c r="E146" s="4" t="s">
        <v>1201</v>
      </c>
      <c r="F146" s="27" t="e">
        <f>VLOOKUP(B146,Sheet5!A146:J469,2,0)</f>
        <v>#N/A</v>
      </c>
      <c r="G146" s="27" t="e">
        <f>VLOOKUP(B146,Sheet5!A146:J469,3,0)</f>
        <v>#N/A</v>
      </c>
      <c r="H146" s="27" t="e">
        <f>VLOOKUP(B146,Sheet5!A146:J469,4,0)</f>
        <v>#N/A</v>
      </c>
      <c r="I146" s="27" t="e">
        <f>VLOOKUP(B146,Sheet5!A146:J469,5,0)</f>
        <v>#N/A</v>
      </c>
      <c r="J146" s="27" t="e">
        <f>VLOOKUP(B146,Sheet5!A146:J469,6,0)</f>
        <v>#N/A</v>
      </c>
      <c r="K146" s="27" t="e">
        <f>VLOOKUP(B146,Sheet5!A146:J469,7,0)</f>
        <v>#N/A</v>
      </c>
      <c r="L146" s="27" t="e">
        <f>VLOOKUP(B146,Sheet5!A146:J469,8,0)</f>
        <v>#N/A</v>
      </c>
      <c r="M146" s="27" t="e">
        <f>VLOOKUP(B146,Sheet5!A146:J469,9,0)</f>
        <v>#N/A</v>
      </c>
      <c r="N146" s="27" t="e">
        <f>VLOOKUP(B146,Sheet5!A146:J469,10,0)</f>
        <v>#N/A</v>
      </c>
    </row>
    <row r="147" spans="1:14" x14ac:dyDescent="0.2">
      <c r="A147" s="3" t="s">
        <v>182</v>
      </c>
      <c r="B147" s="3" t="s">
        <v>596</v>
      </c>
      <c r="C147" s="4">
        <v>16735</v>
      </c>
      <c r="D147" s="4" t="s">
        <v>689</v>
      </c>
      <c r="E147" s="4" t="s">
        <v>1201</v>
      </c>
      <c r="F147" s="27" t="str">
        <f>VLOOKUP(B147,Sheet5!A147:J470,2,0)</f>
        <v>笔记本电脑</v>
      </c>
      <c r="G147" s="27" t="str">
        <f>VLOOKUP(B147,Sheet5!A147:J470,3,0)</f>
        <v>ThinkPad</v>
      </c>
      <c r="H147" s="27" t="str">
        <f>VLOOKUP(B147,Sheet5!A147:J470,4,0)</f>
        <v>T440P</v>
      </c>
      <c r="I147" s="27" t="str">
        <f>VLOOKUP(B147,Sheet5!A147:J470,5,0)</f>
        <v>205.00</v>
      </c>
      <c r="J147" s="27" t="str">
        <f>VLOOKUP(B147,Sheet5!A147:J470,6,0)</f>
        <v>2018/04/15</v>
      </c>
      <c r="K147" s="27" t="str">
        <f>VLOOKUP(B147,Sheet5!A147:J470,7,0)</f>
        <v>易点租</v>
      </c>
      <c r="L147" s="27" t="str">
        <f>VLOOKUP(B147,Sheet5!A147:J470,8,0)</f>
        <v>i5</v>
      </c>
      <c r="M147" s="27" t="str">
        <f>VLOOKUP(B147,Sheet5!A147:J470,9,0)</f>
        <v>16G</v>
      </c>
      <c r="N147" s="27" t="str">
        <f>VLOOKUP(B147,Sheet5!A147:J470,10,0)</f>
        <v>240G SSD</v>
      </c>
    </row>
    <row r="148" spans="1:14" x14ac:dyDescent="0.2">
      <c r="A148" s="3" t="s">
        <v>183</v>
      </c>
      <c r="B148" s="3" t="s">
        <v>184</v>
      </c>
      <c r="C148" s="4">
        <v>20601</v>
      </c>
      <c r="D148" s="4" t="s">
        <v>689</v>
      </c>
      <c r="E148" s="4" t="s">
        <v>1201</v>
      </c>
      <c r="F148" s="27" t="str">
        <f>VLOOKUP(B148,Sheet5!A148:J471,2,0)</f>
        <v>笔记本电脑</v>
      </c>
      <c r="G148" s="27" t="str">
        <f>VLOOKUP(B148,Sheet5!A148:J471,3,0)</f>
        <v>戴尔/DELL</v>
      </c>
      <c r="H148" s="27" t="str">
        <f>VLOOKUP(B148,Sheet5!A148:J471,4,0)</f>
        <v>3490</v>
      </c>
      <c r="I148" s="27" t="str">
        <f>VLOOKUP(B148,Sheet5!A148:J471,5,0)</f>
        <v>115.00</v>
      </c>
      <c r="J148" s="27" t="str">
        <f>VLOOKUP(B148,Sheet5!A148:J471,6,0)</f>
        <v>2018/05/17</v>
      </c>
      <c r="K148" s="27" t="str">
        <f>VLOOKUP(B148,Sheet5!A148:J471,7,0)</f>
        <v>易点租</v>
      </c>
      <c r="L148" s="27" t="str">
        <f>VLOOKUP(B148,Sheet5!A148:J471,8,0)</f>
        <v/>
      </c>
      <c r="M148" s="27" t="str">
        <f>VLOOKUP(B148,Sheet5!A148:J471,9,0)</f>
        <v/>
      </c>
      <c r="N148" s="27" t="str">
        <f>VLOOKUP(B148,Sheet5!A148:J471,10,0)</f>
        <v/>
      </c>
    </row>
    <row r="149" spans="1:14" x14ac:dyDescent="0.2">
      <c r="A149" s="3" t="s">
        <v>185</v>
      </c>
      <c r="B149" s="3" t="s">
        <v>597</v>
      </c>
      <c r="C149" s="4">
        <v>12730</v>
      </c>
      <c r="D149" s="4" t="s">
        <v>689</v>
      </c>
      <c r="E149" s="4" t="s">
        <v>1201</v>
      </c>
      <c r="F149" s="27" t="e">
        <f>VLOOKUP(B149,Sheet5!A149:J472,2,0)</f>
        <v>#N/A</v>
      </c>
      <c r="G149" s="27" t="e">
        <f>VLOOKUP(B149,Sheet5!A149:J472,3,0)</f>
        <v>#N/A</v>
      </c>
      <c r="H149" s="27" t="e">
        <f>VLOOKUP(B149,Sheet5!A149:J472,4,0)</f>
        <v>#N/A</v>
      </c>
      <c r="I149" s="27" t="e">
        <f>VLOOKUP(B149,Sheet5!A149:J472,5,0)</f>
        <v>#N/A</v>
      </c>
      <c r="J149" s="27" t="e">
        <f>VLOOKUP(B149,Sheet5!A149:J472,6,0)</f>
        <v>#N/A</v>
      </c>
      <c r="K149" s="27" t="e">
        <f>VLOOKUP(B149,Sheet5!A149:J472,7,0)</f>
        <v>#N/A</v>
      </c>
      <c r="L149" s="27" t="e">
        <f>VLOOKUP(B149,Sheet5!A149:J472,8,0)</f>
        <v>#N/A</v>
      </c>
      <c r="M149" s="27" t="e">
        <f>VLOOKUP(B149,Sheet5!A149:J472,9,0)</f>
        <v>#N/A</v>
      </c>
      <c r="N149" s="27" t="e">
        <f>VLOOKUP(B149,Sheet5!A149:J472,10,0)</f>
        <v>#N/A</v>
      </c>
    </row>
    <row r="150" spans="1:14" x14ac:dyDescent="0.2">
      <c r="A150" s="3" t="s">
        <v>186</v>
      </c>
      <c r="B150" s="3" t="s">
        <v>614</v>
      </c>
      <c r="C150" s="4">
        <v>6907</v>
      </c>
      <c r="D150" s="4" t="s">
        <v>689</v>
      </c>
      <c r="E150" s="4" t="s">
        <v>1201</v>
      </c>
      <c r="F150" s="27" t="str">
        <f>VLOOKUP(B150,Sheet5!A150:J473,2,0)</f>
        <v>投影仪</v>
      </c>
      <c r="G150" s="27" t="str">
        <f>VLOOKUP(B150,Sheet5!A150:J473,3,0)</f>
        <v>ThinkPad</v>
      </c>
      <c r="H150" s="27" t="str">
        <f>VLOOKUP(B150,Sheet5!A150:J473,4,0)</f>
        <v>日立</v>
      </c>
      <c r="I150" s="27" t="str">
        <f>VLOOKUP(B150,Sheet5!A150:J473,5,0)</f>
        <v>1005.00</v>
      </c>
      <c r="J150" s="27" t="str">
        <f>VLOOKUP(B150,Sheet5!A150:J473,6,0)</f>
        <v>2018/03/27</v>
      </c>
      <c r="K150" s="27" t="str">
        <f>VLOOKUP(B150,Sheet5!A150:J473,7,0)</f>
        <v>易点租</v>
      </c>
      <c r="L150" s="27" t="str">
        <f>VLOOKUP(B150,Sheet5!A150:J473,8,0)</f>
        <v/>
      </c>
      <c r="M150" s="27" t="str">
        <f>VLOOKUP(B150,Sheet5!A150:J473,9,0)</f>
        <v/>
      </c>
      <c r="N150" s="27" t="str">
        <f>VLOOKUP(B150,Sheet5!A150:J473,10,0)</f>
        <v/>
      </c>
    </row>
    <row r="151" spans="1:14" x14ac:dyDescent="0.2">
      <c r="A151" s="3" t="s">
        <v>186</v>
      </c>
      <c r="B151" s="3" t="s">
        <v>598</v>
      </c>
      <c r="C151" s="4">
        <v>6907</v>
      </c>
      <c r="D151" s="4" t="s">
        <v>689</v>
      </c>
      <c r="E151" s="4" t="s">
        <v>1201</v>
      </c>
      <c r="F151" s="27" t="str">
        <f>VLOOKUP(B151,Sheet5!A151:J474,2,0)</f>
        <v>投影仪</v>
      </c>
      <c r="G151" s="27" t="str">
        <f>VLOOKUP(B151,Sheet5!A151:J474,3,0)</f>
        <v>ThinkPad</v>
      </c>
      <c r="H151" s="27" t="str">
        <f>VLOOKUP(B151,Sheet5!A151:J474,4,0)</f>
        <v>日立</v>
      </c>
      <c r="I151" s="27" t="str">
        <f>VLOOKUP(B151,Sheet5!A151:J474,5,0)</f>
        <v>1005.00</v>
      </c>
      <c r="J151" s="27" t="str">
        <f>VLOOKUP(B151,Sheet5!A151:J474,6,0)</f>
        <v>2018/03/27</v>
      </c>
      <c r="K151" s="27" t="str">
        <f>VLOOKUP(B151,Sheet5!A151:J474,7,0)</f>
        <v>易点租</v>
      </c>
      <c r="L151" s="27" t="str">
        <f>VLOOKUP(B151,Sheet5!A151:J474,8,0)</f>
        <v/>
      </c>
      <c r="M151" s="27" t="str">
        <f>VLOOKUP(B151,Sheet5!A151:J474,9,0)</f>
        <v/>
      </c>
      <c r="N151" s="27" t="str">
        <f>VLOOKUP(B151,Sheet5!A151:J474,10,0)</f>
        <v/>
      </c>
    </row>
    <row r="152" spans="1:14" x14ac:dyDescent="0.2">
      <c r="A152" s="3" t="s">
        <v>187</v>
      </c>
      <c r="B152" s="3" t="s">
        <v>599</v>
      </c>
      <c r="C152" s="4">
        <v>5862</v>
      </c>
      <c r="D152" s="4" t="s">
        <v>689</v>
      </c>
      <c r="E152" s="4" t="s">
        <v>1201</v>
      </c>
      <c r="F152" s="27" t="str">
        <f>VLOOKUP(B152,Sheet5!A152:J475,2,0)</f>
        <v>笔记本电脑</v>
      </c>
      <c r="G152" s="27" t="str">
        <f>VLOOKUP(B152,Sheet5!A152:J475,3,0)</f>
        <v>ThinkPad</v>
      </c>
      <c r="H152" s="27" t="str">
        <f>VLOOKUP(B152,Sheet5!A152:J475,4,0)</f>
        <v>X240</v>
      </c>
      <c r="I152" s="27" t="str">
        <f>VLOOKUP(B152,Sheet5!A152:J475,5,0)</f>
        <v>115.00</v>
      </c>
      <c r="J152" s="27" t="str">
        <f>VLOOKUP(B152,Sheet5!A152:J475,6,0)</f>
        <v>2018/04/21</v>
      </c>
      <c r="K152" s="27" t="str">
        <f>VLOOKUP(B152,Sheet5!A152:J475,7,0)</f>
        <v>易点租</v>
      </c>
      <c r="L152" s="27" t="str">
        <f>VLOOKUP(B152,Sheet5!A152:J475,8,0)</f>
        <v>i5</v>
      </c>
      <c r="M152" s="27" t="str">
        <f>VLOOKUP(B152,Sheet5!A152:J475,9,0)</f>
        <v>8G</v>
      </c>
      <c r="N152" s="27" t="str">
        <f>VLOOKUP(B152,Sheet5!A152:J475,10,0)</f>
        <v>500G</v>
      </c>
    </row>
    <row r="153" spans="1:14" x14ac:dyDescent="0.2">
      <c r="A153" s="3" t="s">
        <v>188</v>
      </c>
      <c r="B153" s="3" t="s">
        <v>600</v>
      </c>
      <c r="C153" s="4">
        <v>10814</v>
      </c>
      <c r="D153" s="4" t="s">
        <v>689</v>
      </c>
      <c r="E153" s="4" t="s">
        <v>1201</v>
      </c>
      <c r="F153" s="27" t="e">
        <f>VLOOKUP(B153,Sheet5!A153:J476,2,0)</f>
        <v>#N/A</v>
      </c>
      <c r="G153" s="27" t="e">
        <f>VLOOKUP(B153,Sheet5!A153:J476,3,0)</f>
        <v>#N/A</v>
      </c>
      <c r="H153" s="27" t="e">
        <f>VLOOKUP(B153,Sheet5!A153:J476,4,0)</f>
        <v>#N/A</v>
      </c>
      <c r="I153" s="27" t="e">
        <f>VLOOKUP(B153,Sheet5!A153:J476,5,0)</f>
        <v>#N/A</v>
      </c>
      <c r="J153" s="27" t="e">
        <f>VLOOKUP(B153,Sheet5!A153:J476,6,0)</f>
        <v>#N/A</v>
      </c>
      <c r="K153" s="27" t="e">
        <f>VLOOKUP(B153,Sheet5!A153:J476,7,0)</f>
        <v>#N/A</v>
      </c>
      <c r="L153" s="27" t="e">
        <f>VLOOKUP(B153,Sheet5!A153:J476,8,0)</f>
        <v>#N/A</v>
      </c>
      <c r="M153" s="27" t="e">
        <f>VLOOKUP(B153,Sheet5!A153:J476,9,0)</f>
        <v>#N/A</v>
      </c>
      <c r="N153" s="27" t="e">
        <f>VLOOKUP(B153,Sheet5!A153:J476,10,0)</f>
        <v>#N/A</v>
      </c>
    </row>
    <row r="154" spans="1:14" x14ac:dyDescent="0.2">
      <c r="A154" s="3" t="s">
        <v>189</v>
      </c>
      <c r="B154" s="3" t="s">
        <v>601</v>
      </c>
      <c r="C154" s="4">
        <v>21015</v>
      </c>
      <c r="D154" s="4" t="s">
        <v>689</v>
      </c>
      <c r="E154" s="4" t="s">
        <v>1201</v>
      </c>
      <c r="F154" s="27" t="str">
        <f>VLOOKUP(B154,Sheet5!A154:J477,2,0)</f>
        <v>笔记本电脑</v>
      </c>
      <c r="G154" s="27" t="str">
        <f>VLOOKUP(B154,Sheet5!A154:J477,3,0)</f>
        <v>ThinkPad</v>
      </c>
      <c r="H154" s="27" t="str">
        <f>VLOOKUP(B154,Sheet5!A154:J477,4,0)</f>
        <v>X240</v>
      </c>
      <c r="I154" s="27" t="str">
        <f>VLOOKUP(B154,Sheet5!A154:J477,5,0)</f>
        <v>115.00</v>
      </c>
      <c r="J154" s="27" t="str">
        <f>VLOOKUP(B154,Sheet5!A154:J477,6,0)</f>
        <v>2018/03/28</v>
      </c>
      <c r="K154" s="27" t="str">
        <f>VLOOKUP(B154,Sheet5!A154:J477,7,0)</f>
        <v>易点租</v>
      </c>
      <c r="L154" s="27" t="str">
        <f>VLOOKUP(B154,Sheet5!A154:J477,8,0)</f>
        <v>i5</v>
      </c>
      <c r="M154" s="27" t="str">
        <f>VLOOKUP(B154,Sheet5!A154:J477,9,0)</f>
        <v>8G</v>
      </c>
      <c r="N154" s="27" t="str">
        <f>VLOOKUP(B154,Sheet5!A154:J477,10,0)</f>
        <v>500G</v>
      </c>
    </row>
    <row r="155" spans="1:14" x14ac:dyDescent="0.2">
      <c r="A155" s="3" t="s">
        <v>190</v>
      </c>
      <c r="B155" s="3" t="s">
        <v>602</v>
      </c>
      <c r="C155" s="4">
        <v>15723</v>
      </c>
      <c r="D155" s="4" t="s">
        <v>689</v>
      </c>
      <c r="E155" s="4" t="s">
        <v>1201</v>
      </c>
      <c r="F155" s="27" t="e">
        <f>VLOOKUP(B155,Sheet5!A155:J478,2,0)</f>
        <v>#N/A</v>
      </c>
      <c r="G155" s="27" t="e">
        <f>VLOOKUP(B155,Sheet5!A155:J478,3,0)</f>
        <v>#N/A</v>
      </c>
      <c r="H155" s="27" t="e">
        <f>VLOOKUP(B155,Sheet5!A155:J478,4,0)</f>
        <v>#N/A</v>
      </c>
      <c r="I155" s="27" t="e">
        <f>VLOOKUP(B155,Sheet5!A155:J478,5,0)</f>
        <v>#N/A</v>
      </c>
      <c r="J155" s="27" t="e">
        <f>VLOOKUP(B155,Sheet5!A155:J478,6,0)</f>
        <v>#N/A</v>
      </c>
      <c r="K155" s="27" t="e">
        <f>VLOOKUP(B155,Sheet5!A155:J478,7,0)</f>
        <v>#N/A</v>
      </c>
      <c r="L155" s="27" t="e">
        <f>VLOOKUP(B155,Sheet5!A155:J478,8,0)</f>
        <v>#N/A</v>
      </c>
      <c r="M155" s="27" t="e">
        <f>VLOOKUP(B155,Sheet5!A155:J478,9,0)</f>
        <v>#N/A</v>
      </c>
      <c r="N155" s="27" t="e">
        <f>VLOOKUP(B155,Sheet5!A155:J478,10,0)</f>
        <v>#N/A</v>
      </c>
    </row>
    <row r="156" spans="1:14" x14ac:dyDescent="0.2">
      <c r="A156" s="3" t="s">
        <v>191</v>
      </c>
      <c r="B156" s="3" t="s">
        <v>603</v>
      </c>
      <c r="C156" s="4">
        <v>16313</v>
      </c>
      <c r="D156" s="4" t="s">
        <v>689</v>
      </c>
      <c r="E156" s="4" t="s">
        <v>1201</v>
      </c>
      <c r="F156" s="27" t="e">
        <f>VLOOKUP(B156,Sheet5!A156:J479,2,0)</f>
        <v>#N/A</v>
      </c>
      <c r="G156" s="27" t="e">
        <f>VLOOKUP(B156,Sheet5!A156:J479,3,0)</f>
        <v>#N/A</v>
      </c>
      <c r="H156" s="27" t="e">
        <f>VLOOKUP(B156,Sheet5!A156:J479,4,0)</f>
        <v>#N/A</v>
      </c>
      <c r="I156" s="27" t="e">
        <f>VLOOKUP(B156,Sheet5!A156:J479,5,0)</f>
        <v>#N/A</v>
      </c>
      <c r="J156" s="27" t="e">
        <f>VLOOKUP(B156,Sheet5!A156:J479,6,0)</f>
        <v>#N/A</v>
      </c>
      <c r="K156" s="27" t="e">
        <f>VLOOKUP(B156,Sheet5!A156:J479,7,0)</f>
        <v>#N/A</v>
      </c>
      <c r="L156" s="27" t="e">
        <f>VLOOKUP(B156,Sheet5!A156:J479,8,0)</f>
        <v>#N/A</v>
      </c>
      <c r="M156" s="27" t="e">
        <f>VLOOKUP(B156,Sheet5!A156:J479,9,0)</f>
        <v>#N/A</v>
      </c>
      <c r="N156" s="27" t="e">
        <f>VLOOKUP(B156,Sheet5!A156:J479,10,0)</f>
        <v>#N/A</v>
      </c>
    </row>
    <row r="157" spans="1:14" x14ac:dyDescent="0.2">
      <c r="A157" s="3" t="s">
        <v>192</v>
      </c>
      <c r="B157" s="3" t="s">
        <v>604</v>
      </c>
      <c r="C157" s="4">
        <v>17268</v>
      </c>
      <c r="D157" s="4" t="s">
        <v>689</v>
      </c>
      <c r="E157" s="4" t="s">
        <v>1201</v>
      </c>
      <c r="F157" s="27" t="str">
        <f>VLOOKUP(B157,Sheet5!A157:J480,2,0)</f>
        <v>笔记本电脑</v>
      </c>
      <c r="G157" s="27" t="str">
        <f>VLOOKUP(B157,Sheet5!A157:J480,3,0)</f>
        <v>ThinkPad</v>
      </c>
      <c r="H157" s="27" t="str">
        <f>VLOOKUP(B157,Sheet5!A157:J480,4,0)</f>
        <v>X220</v>
      </c>
      <c r="I157" s="27" t="str">
        <f>VLOOKUP(B157,Sheet5!A157:J480,5,0)</f>
        <v>110.00</v>
      </c>
      <c r="J157" s="27" t="str">
        <f>VLOOKUP(B157,Sheet5!A157:J480,6,0)</f>
        <v>2018/03/07</v>
      </c>
      <c r="K157" s="27" t="str">
        <f>VLOOKUP(B157,Sheet5!A157:J480,7,0)</f>
        <v>易点租</v>
      </c>
      <c r="L157" s="27" t="str">
        <f>VLOOKUP(B157,Sheet5!A157:J480,8,0)</f>
        <v>i5</v>
      </c>
      <c r="M157" s="27" t="str">
        <f>VLOOKUP(B157,Sheet5!A157:J480,9,0)</f>
        <v>8G</v>
      </c>
      <c r="N157" s="27" t="str">
        <f>VLOOKUP(B157,Sheet5!A157:J480,10,0)</f>
        <v>500G</v>
      </c>
    </row>
    <row r="158" spans="1:14" x14ac:dyDescent="0.2">
      <c r="A158" s="3" t="s">
        <v>193</v>
      </c>
      <c r="B158" s="3" t="s">
        <v>605</v>
      </c>
      <c r="C158" s="4">
        <v>9371</v>
      </c>
      <c r="D158" s="4" t="s">
        <v>689</v>
      </c>
      <c r="E158" s="4" t="s">
        <v>1201</v>
      </c>
      <c r="F158" s="27" t="e">
        <f>VLOOKUP(B158,Sheet5!A158:J481,2,0)</f>
        <v>#N/A</v>
      </c>
      <c r="G158" s="27" t="e">
        <f>VLOOKUP(B158,Sheet5!A158:J481,3,0)</f>
        <v>#N/A</v>
      </c>
      <c r="H158" s="27" t="e">
        <f>VLOOKUP(B158,Sheet5!A158:J481,4,0)</f>
        <v>#N/A</v>
      </c>
      <c r="I158" s="27" t="e">
        <f>VLOOKUP(B158,Sheet5!A158:J481,5,0)</f>
        <v>#N/A</v>
      </c>
      <c r="J158" s="27" t="e">
        <f>VLOOKUP(B158,Sheet5!A158:J481,6,0)</f>
        <v>#N/A</v>
      </c>
      <c r="K158" s="27" t="e">
        <f>VLOOKUP(B158,Sheet5!A158:J481,7,0)</f>
        <v>#N/A</v>
      </c>
      <c r="L158" s="27" t="e">
        <f>VLOOKUP(B158,Sheet5!A158:J481,8,0)</f>
        <v>#N/A</v>
      </c>
      <c r="M158" s="27" t="e">
        <f>VLOOKUP(B158,Sheet5!A158:J481,9,0)</f>
        <v>#N/A</v>
      </c>
      <c r="N158" s="27" t="e">
        <f>VLOOKUP(B158,Sheet5!A158:J481,10,0)</f>
        <v>#N/A</v>
      </c>
    </row>
    <row r="159" spans="1:14" x14ac:dyDescent="0.2">
      <c r="A159" s="3" t="s">
        <v>194</v>
      </c>
      <c r="B159" s="3"/>
      <c r="C159" s="4">
        <v>19849</v>
      </c>
      <c r="D159" s="4" t="s">
        <v>689</v>
      </c>
      <c r="E159" s="4" t="s">
        <v>1201</v>
      </c>
      <c r="F159" s="27" t="e">
        <f>VLOOKUP(B159,Sheet5!A159:J482,2,0)</f>
        <v>#N/A</v>
      </c>
      <c r="G159" s="27" t="e">
        <f>VLOOKUP(B159,Sheet5!A159:J482,3,0)</f>
        <v>#N/A</v>
      </c>
      <c r="H159" s="27" t="e">
        <f>VLOOKUP(B159,Sheet5!A159:J482,4,0)</f>
        <v>#N/A</v>
      </c>
      <c r="I159" s="27" t="e">
        <f>VLOOKUP(B159,Sheet5!A159:J482,5,0)</f>
        <v>#N/A</v>
      </c>
      <c r="J159" s="27" t="e">
        <f>VLOOKUP(B159,Sheet5!A159:J482,6,0)</f>
        <v>#N/A</v>
      </c>
      <c r="K159" s="27" t="e">
        <f>VLOOKUP(B159,Sheet5!A159:J482,7,0)</f>
        <v>#N/A</v>
      </c>
      <c r="L159" s="27" t="e">
        <f>VLOOKUP(B159,Sheet5!A159:J482,8,0)</f>
        <v>#N/A</v>
      </c>
      <c r="M159" s="27" t="e">
        <f>VLOOKUP(B159,Sheet5!A159:J482,9,0)</f>
        <v>#N/A</v>
      </c>
      <c r="N159" s="27" t="e">
        <f>VLOOKUP(B159,Sheet5!A159:J482,10,0)</f>
        <v>#N/A</v>
      </c>
    </row>
    <row r="160" spans="1:14" x14ac:dyDescent="0.2">
      <c r="A160" s="3" t="s">
        <v>195</v>
      </c>
      <c r="B160" s="3" t="s">
        <v>606</v>
      </c>
      <c r="C160" s="4">
        <v>17838</v>
      </c>
      <c r="D160" s="4" t="s">
        <v>689</v>
      </c>
      <c r="E160" s="4" t="s">
        <v>1201</v>
      </c>
      <c r="F160" s="27" t="e">
        <f>VLOOKUP(B160,Sheet5!A160:J483,2,0)</f>
        <v>#N/A</v>
      </c>
      <c r="G160" s="27" t="e">
        <f>VLOOKUP(B160,Sheet5!A160:J483,3,0)</f>
        <v>#N/A</v>
      </c>
      <c r="H160" s="27" t="e">
        <f>VLOOKUP(B160,Sheet5!A160:J483,4,0)</f>
        <v>#N/A</v>
      </c>
      <c r="I160" s="27" t="e">
        <f>VLOOKUP(B160,Sheet5!A160:J483,5,0)</f>
        <v>#N/A</v>
      </c>
      <c r="J160" s="27" t="e">
        <f>VLOOKUP(B160,Sheet5!A160:J483,6,0)</f>
        <v>#N/A</v>
      </c>
      <c r="K160" s="27" t="e">
        <f>VLOOKUP(B160,Sheet5!A160:J483,7,0)</f>
        <v>#N/A</v>
      </c>
      <c r="L160" s="27" t="e">
        <f>VLOOKUP(B160,Sheet5!A160:J483,8,0)</f>
        <v>#N/A</v>
      </c>
      <c r="M160" s="27" t="e">
        <f>VLOOKUP(B160,Sheet5!A160:J483,9,0)</f>
        <v>#N/A</v>
      </c>
      <c r="N160" s="27" t="e">
        <f>VLOOKUP(B160,Sheet5!A160:J483,10,0)</f>
        <v>#N/A</v>
      </c>
    </row>
    <row r="161" spans="1:14" x14ac:dyDescent="0.2">
      <c r="A161" s="3" t="s">
        <v>196</v>
      </c>
      <c r="B161" s="3" t="s">
        <v>607</v>
      </c>
      <c r="C161" s="4">
        <v>11023</v>
      </c>
      <c r="D161" s="4" t="s">
        <v>689</v>
      </c>
      <c r="E161" s="4" t="s">
        <v>1201</v>
      </c>
      <c r="F161" s="27" t="e">
        <f>VLOOKUP(B161,Sheet5!A161:J484,2,0)</f>
        <v>#N/A</v>
      </c>
      <c r="G161" s="27" t="e">
        <f>VLOOKUP(B161,Sheet5!A161:J484,3,0)</f>
        <v>#N/A</v>
      </c>
      <c r="H161" s="27" t="e">
        <f>VLOOKUP(B161,Sheet5!A161:J484,4,0)</f>
        <v>#N/A</v>
      </c>
      <c r="I161" s="27" t="e">
        <f>VLOOKUP(B161,Sheet5!A161:J484,5,0)</f>
        <v>#N/A</v>
      </c>
      <c r="J161" s="27" t="e">
        <f>VLOOKUP(B161,Sheet5!A161:J484,6,0)</f>
        <v>#N/A</v>
      </c>
      <c r="K161" s="27" t="e">
        <f>VLOOKUP(B161,Sheet5!A161:J484,7,0)</f>
        <v>#N/A</v>
      </c>
      <c r="L161" s="27" t="e">
        <f>VLOOKUP(B161,Sheet5!A161:J484,8,0)</f>
        <v>#N/A</v>
      </c>
      <c r="M161" s="27" t="e">
        <f>VLOOKUP(B161,Sheet5!A161:J484,9,0)</f>
        <v>#N/A</v>
      </c>
      <c r="N161" s="27" t="e">
        <f>VLOOKUP(B161,Sheet5!A161:J484,10,0)</f>
        <v>#N/A</v>
      </c>
    </row>
    <row r="162" spans="1:14" x14ac:dyDescent="0.2">
      <c r="A162" s="3" t="s">
        <v>197</v>
      </c>
      <c r="B162" s="3" t="s">
        <v>198</v>
      </c>
      <c r="C162" s="4">
        <v>2745</v>
      </c>
      <c r="D162" s="4" t="s">
        <v>689</v>
      </c>
      <c r="E162" s="4" t="s">
        <v>1201</v>
      </c>
      <c r="F162" s="27" t="str">
        <f>VLOOKUP(B162,Sheet5!A162:J485,2,0)</f>
        <v>笔记本电脑</v>
      </c>
      <c r="G162" s="27" t="str">
        <f>VLOOKUP(B162,Sheet5!A162:J485,3,0)</f>
        <v>ThinkPad</v>
      </c>
      <c r="H162" s="27" t="str">
        <f>VLOOKUP(B162,Sheet5!A162:J485,4,0)</f>
        <v>T470</v>
      </c>
      <c r="I162" s="27" t="str">
        <f>VLOOKUP(B162,Sheet5!A162:J485,5,0)</f>
        <v>338.00</v>
      </c>
      <c r="J162" s="27" t="str">
        <f>VLOOKUP(B162,Sheet5!A162:J485,6,0)</f>
        <v>2018/03/03</v>
      </c>
      <c r="K162" s="27" t="str">
        <f>VLOOKUP(B162,Sheet5!A162:J485,7,0)</f>
        <v>易点租</v>
      </c>
      <c r="L162" s="27" t="str">
        <f>VLOOKUP(B162,Sheet5!A162:J485,8,0)</f>
        <v>i5</v>
      </c>
      <c r="M162" s="27" t="str">
        <f>VLOOKUP(B162,Sheet5!A162:J485,9,0)</f>
        <v>8G</v>
      </c>
      <c r="N162" s="27" t="str">
        <f>VLOOKUP(B162,Sheet5!A162:J485,10,0)</f>
        <v>128G SSD + 500G</v>
      </c>
    </row>
    <row r="163" spans="1:14" x14ac:dyDescent="0.2">
      <c r="A163" s="3" t="s">
        <v>197</v>
      </c>
      <c r="B163" s="3" t="s">
        <v>1197</v>
      </c>
      <c r="C163" s="4">
        <v>2745</v>
      </c>
      <c r="D163" s="4" t="s">
        <v>689</v>
      </c>
      <c r="E163" s="4" t="s">
        <v>1201</v>
      </c>
      <c r="F163" s="27" t="e">
        <f>VLOOKUP(B163,Sheet5!A163:J486,2,0)</f>
        <v>#N/A</v>
      </c>
      <c r="G163" s="27" t="e">
        <f>VLOOKUP(B163,Sheet5!A163:J486,3,0)</f>
        <v>#N/A</v>
      </c>
      <c r="H163" s="27" t="e">
        <f>VLOOKUP(B163,Sheet5!A163:J486,4,0)</f>
        <v>#N/A</v>
      </c>
      <c r="I163" s="27" t="e">
        <f>VLOOKUP(B163,Sheet5!A163:J486,5,0)</f>
        <v>#N/A</v>
      </c>
      <c r="J163" s="27" t="e">
        <f>VLOOKUP(B163,Sheet5!A163:J486,6,0)</f>
        <v>#N/A</v>
      </c>
      <c r="K163" s="27" t="e">
        <f>VLOOKUP(B163,Sheet5!A163:J486,7,0)</f>
        <v>#N/A</v>
      </c>
      <c r="L163" s="27" t="e">
        <f>VLOOKUP(B163,Sheet5!A163:J486,8,0)</f>
        <v>#N/A</v>
      </c>
      <c r="M163" s="27" t="e">
        <f>VLOOKUP(B163,Sheet5!A163:J486,9,0)</f>
        <v>#N/A</v>
      </c>
      <c r="N163" s="27" t="e">
        <f>VLOOKUP(B163,Sheet5!A163:J486,10,0)</f>
        <v>#N/A</v>
      </c>
    </row>
    <row r="164" spans="1:14" x14ac:dyDescent="0.2">
      <c r="A164" s="3" t="s">
        <v>199</v>
      </c>
      <c r="B164" s="3" t="s">
        <v>608</v>
      </c>
      <c r="C164" s="4">
        <v>15497</v>
      </c>
      <c r="D164" s="4" t="s">
        <v>689</v>
      </c>
      <c r="E164" s="4" t="s">
        <v>1201</v>
      </c>
      <c r="F164" s="27" t="str">
        <f>VLOOKUP(B164,Sheet5!A164:J487,2,0)</f>
        <v>笔记本电脑</v>
      </c>
      <c r="G164" s="27" t="str">
        <f>VLOOKUP(B164,Sheet5!A164:J487,3,0)</f>
        <v>戴尔/DELL</v>
      </c>
      <c r="H164" s="27" t="str">
        <f>VLOOKUP(B164,Sheet5!A164:J487,4,0)</f>
        <v>3490</v>
      </c>
      <c r="I164" s="27" t="str">
        <f>VLOOKUP(B164,Sheet5!A164:J487,5,0)</f>
        <v>105.00</v>
      </c>
      <c r="J164" s="27" t="str">
        <f>VLOOKUP(B164,Sheet5!A164:J487,6,0)</f>
        <v>2018/04/21</v>
      </c>
      <c r="K164" s="27" t="str">
        <f>VLOOKUP(B164,Sheet5!A164:J487,7,0)</f>
        <v>易点租</v>
      </c>
      <c r="L164" s="27" t="str">
        <f>VLOOKUP(B164,Sheet5!A164:J487,8,0)</f>
        <v/>
      </c>
      <c r="M164" s="27" t="str">
        <f>VLOOKUP(B164,Sheet5!A164:J487,9,0)</f>
        <v/>
      </c>
      <c r="N164" s="27" t="str">
        <f>VLOOKUP(B164,Sheet5!A164:J487,10,0)</f>
        <v/>
      </c>
    </row>
    <row r="165" spans="1:14" x14ac:dyDescent="0.2">
      <c r="A165" s="3" t="s">
        <v>200</v>
      </c>
      <c r="B165" s="3" t="s">
        <v>609</v>
      </c>
      <c r="C165" s="4">
        <v>20912</v>
      </c>
      <c r="D165" s="4" t="s">
        <v>689</v>
      </c>
      <c r="E165" s="4" t="s">
        <v>1201</v>
      </c>
      <c r="F165" s="27" t="e">
        <f>VLOOKUP(B165,Sheet5!A165:J488,2,0)</f>
        <v>#N/A</v>
      </c>
      <c r="G165" s="27" t="e">
        <f>VLOOKUP(B165,Sheet5!A165:J488,3,0)</f>
        <v>#N/A</v>
      </c>
      <c r="H165" s="27" t="e">
        <f>VLOOKUP(B165,Sheet5!A165:J488,4,0)</f>
        <v>#N/A</v>
      </c>
      <c r="I165" s="27" t="e">
        <f>VLOOKUP(B165,Sheet5!A165:J488,5,0)</f>
        <v>#N/A</v>
      </c>
      <c r="J165" s="27" t="e">
        <f>VLOOKUP(B165,Sheet5!A165:J488,6,0)</f>
        <v>#N/A</v>
      </c>
      <c r="K165" s="27" t="e">
        <f>VLOOKUP(B165,Sheet5!A165:J488,7,0)</f>
        <v>#N/A</v>
      </c>
      <c r="L165" s="27" t="e">
        <f>VLOOKUP(B165,Sheet5!A165:J488,8,0)</f>
        <v>#N/A</v>
      </c>
      <c r="M165" s="27" t="e">
        <f>VLOOKUP(B165,Sheet5!A165:J488,9,0)</f>
        <v>#N/A</v>
      </c>
      <c r="N165" s="27" t="e">
        <f>VLOOKUP(B165,Sheet5!A165:J488,10,0)</f>
        <v>#N/A</v>
      </c>
    </row>
    <row r="166" spans="1:14" x14ac:dyDescent="0.2">
      <c r="A166" s="3" t="s">
        <v>201</v>
      </c>
      <c r="B166" s="3" t="s">
        <v>610</v>
      </c>
      <c r="C166" s="4">
        <v>17018</v>
      </c>
      <c r="D166" s="4" t="s">
        <v>689</v>
      </c>
      <c r="E166" s="4" t="s">
        <v>1201</v>
      </c>
      <c r="F166" s="27" t="str">
        <f>VLOOKUP(B166,Sheet5!A166:J489,2,0)</f>
        <v>笔记本电脑</v>
      </c>
      <c r="G166" s="27" t="str">
        <f>VLOOKUP(B166,Sheet5!A166:J489,3,0)</f>
        <v>ThinkPad</v>
      </c>
      <c r="H166" s="27" t="str">
        <f>VLOOKUP(B166,Sheet5!A166:J489,4,0)</f>
        <v>X220</v>
      </c>
      <c r="I166" s="27" t="str">
        <f>VLOOKUP(B166,Sheet5!A166:J489,5,0)</f>
        <v>110.00</v>
      </c>
      <c r="J166" s="27" t="str">
        <f>VLOOKUP(B166,Sheet5!A166:J489,6,0)</f>
        <v>2018/02/14</v>
      </c>
      <c r="K166" s="27" t="str">
        <f>VLOOKUP(B166,Sheet5!A166:J489,7,0)</f>
        <v>易点租</v>
      </c>
      <c r="L166" s="27" t="str">
        <f>VLOOKUP(B166,Sheet5!A166:J489,8,0)</f>
        <v>i5</v>
      </c>
      <c r="M166" s="27" t="str">
        <f>VLOOKUP(B166,Sheet5!A166:J489,9,0)</f>
        <v>8G</v>
      </c>
      <c r="N166" s="27" t="str">
        <f>VLOOKUP(B166,Sheet5!A166:J489,10,0)</f>
        <v>500G</v>
      </c>
    </row>
    <row r="167" spans="1:14" x14ac:dyDescent="0.2">
      <c r="A167" s="3" t="s">
        <v>202</v>
      </c>
      <c r="B167" s="3" t="s">
        <v>611</v>
      </c>
      <c r="C167" s="4">
        <v>1952</v>
      </c>
      <c r="D167" s="4" t="s">
        <v>689</v>
      </c>
      <c r="E167" s="4" t="s">
        <v>1201</v>
      </c>
      <c r="F167" s="27" t="str">
        <f>VLOOKUP(B167,Sheet5!A167:J490,2,0)</f>
        <v>笔记本电脑</v>
      </c>
      <c r="G167" s="27" t="str">
        <f>VLOOKUP(B167,Sheet5!A167:J490,3,0)</f>
        <v>ThinkPad</v>
      </c>
      <c r="H167" s="27" t="str">
        <f>VLOOKUP(B167,Sheet5!A167:J490,4,0)</f>
        <v>X220</v>
      </c>
      <c r="I167" s="27" t="str">
        <f>VLOOKUP(B167,Sheet5!A167:J490,5,0)</f>
        <v>110.00</v>
      </c>
      <c r="J167" s="27" t="str">
        <f>VLOOKUP(B167,Sheet5!A167:J490,6,0)</f>
        <v>2018/02/18</v>
      </c>
      <c r="K167" s="27" t="str">
        <f>VLOOKUP(B167,Sheet5!A167:J490,7,0)</f>
        <v>易点租</v>
      </c>
      <c r="L167" s="27" t="str">
        <f>VLOOKUP(B167,Sheet5!A167:J490,8,0)</f>
        <v>i5</v>
      </c>
      <c r="M167" s="27" t="str">
        <f>VLOOKUP(B167,Sheet5!A167:J490,9,0)</f>
        <v>8G</v>
      </c>
      <c r="N167" s="27" t="str">
        <f>VLOOKUP(B167,Sheet5!A167:J490,10,0)</f>
        <v>500G</v>
      </c>
    </row>
    <row r="168" spans="1:14" x14ac:dyDescent="0.2">
      <c r="A168" s="3" t="s">
        <v>203</v>
      </c>
      <c r="B168" s="3" t="s">
        <v>615</v>
      </c>
      <c r="C168" s="4">
        <v>18901</v>
      </c>
      <c r="D168" s="4" t="s">
        <v>689</v>
      </c>
      <c r="E168" s="4" t="s">
        <v>1201</v>
      </c>
      <c r="F168" s="27" t="str">
        <f>VLOOKUP(B168,Sheet5!A168:J491,2,0)</f>
        <v>笔记本电脑</v>
      </c>
      <c r="G168" s="27" t="str">
        <f>VLOOKUP(B168,Sheet5!A168:J491,3,0)</f>
        <v>ThinkPad</v>
      </c>
      <c r="H168" s="27" t="str">
        <f>VLOOKUP(B168,Sheet5!A168:J491,4,0)</f>
        <v>X220</v>
      </c>
      <c r="I168" s="27" t="str">
        <f>VLOOKUP(B168,Sheet5!A168:J491,5,0)</f>
        <v>110.00</v>
      </c>
      <c r="J168" s="27" t="str">
        <f>VLOOKUP(B168,Sheet5!A168:J491,6,0)</f>
        <v>2018/02/25</v>
      </c>
      <c r="K168" s="27" t="str">
        <f>VLOOKUP(B168,Sheet5!A168:J491,7,0)</f>
        <v>易点租</v>
      </c>
      <c r="L168" s="27" t="str">
        <f>VLOOKUP(B168,Sheet5!A168:J491,8,0)</f>
        <v>i5</v>
      </c>
      <c r="M168" s="27" t="str">
        <f>VLOOKUP(B168,Sheet5!A168:J491,9,0)</f>
        <v>8G</v>
      </c>
      <c r="N168" s="27" t="str">
        <f>VLOOKUP(B168,Sheet5!A168:J491,10,0)</f>
        <v>500G</v>
      </c>
    </row>
    <row r="169" spans="1:14" x14ac:dyDescent="0.2">
      <c r="A169" s="3" t="s">
        <v>204</v>
      </c>
      <c r="B169" s="3" t="s">
        <v>612</v>
      </c>
      <c r="C169" s="4">
        <v>15343</v>
      </c>
      <c r="D169" s="4" t="s">
        <v>689</v>
      </c>
      <c r="E169" s="4" t="s">
        <v>1201</v>
      </c>
      <c r="F169" s="27" t="str">
        <f>VLOOKUP(B169,Sheet5!A169:J492,2,0)</f>
        <v>笔记本电脑</v>
      </c>
      <c r="G169" s="27" t="str">
        <f>VLOOKUP(B169,Sheet5!A169:J492,3,0)</f>
        <v>ThinkPad</v>
      </c>
      <c r="H169" s="27" t="str">
        <f>VLOOKUP(B169,Sheet5!A169:J492,4,0)</f>
        <v>newS2</v>
      </c>
      <c r="I169" s="27" t="str">
        <f>VLOOKUP(B169,Sheet5!A169:J492,5,0)</f>
        <v>298.00</v>
      </c>
      <c r="J169" s="27" t="str">
        <f>VLOOKUP(B169,Sheet5!A169:J492,6,0)</f>
        <v>2018/04/04</v>
      </c>
      <c r="K169" s="27" t="str">
        <f>VLOOKUP(B169,Sheet5!A169:J492,7,0)</f>
        <v>易点租</v>
      </c>
      <c r="L169" s="27" t="str">
        <f>VLOOKUP(B169,Sheet5!A169:J492,8,0)</f>
        <v/>
      </c>
      <c r="M169" s="27" t="str">
        <f>VLOOKUP(B169,Sheet5!A169:J492,9,0)</f>
        <v/>
      </c>
      <c r="N169" s="27" t="str">
        <f>VLOOKUP(B169,Sheet5!A169:J492,10,0)</f>
        <v/>
      </c>
    </row>
    <row r="170" spans="1:14" x14ac:dyDescent="0.2">
      <c r="A170" s="3" t="s">
        <v>204</v>
      </c>
      <c r="B170" s="3" t="s">
        <v>1197</v>
      </c>
      <c r="C170" s="4">
        <v>15343</v>
      </c>
      <c r="D170" s="4" t="s">
        <v>689</v>
      </c>
      <c r="E170" s="4" t="s">
        <v>1201</v>
      </c>
      <c r="F170" s="27" t="e">
        <f>VLOOKUP(B170,Sheet5!A170:J493,2,0)</f>
        <v>#N/A</v>
      </c>
      <c r="G170" s="27" t="e">
        <f>VLOOKUP(B170,Sheet5!A170:J493,3,0)</f>
        <v>#N/A</v>
      </c>
      <c r="H170" s="27" t="e">
        <f>VLOOKUP(B170,Sheet5!A170:J493,4,0)</f>
        <v>#N/A</v>
      </c>
      <c r="I170" s="27" t="e">
        <f>VLOOKUP(B170,Sheet5!A170:J493,5,0)</f>
        <v>#N/A</v>
      </c>
      <c r="J170" s="27" t="e">
        <f>VLOOKUP(B170,Sheet5!A170:J493,6,0)</f>
        <v>#N/A</v>
      </c>
      <c r="K170" s="27" t="e">
        <f>VLOOKUP(B170,Sheet5!A170:J493,7,0)</f>
        <v>#N/A</v>
      </c>
      <c r="L170" s="27" t="e">
        <f>VLOOKUP(B170,Sheet5!A170:J493,8,0)</f>
        <v>#N/A</v>
      </c>
      <c r="M170" s="27" t="e">
        <f>VLOOKUP(B170,Sheet5!A170:J493,9,0)</f>
        <v>#N/A</v>
      </c>
      <c r="N170" s="27" t="e">
        <f>VLOOKUP(B170,Sheet5!A170:J493,10,0)</f>
        <v>#N/A</v>
      </c>
    </row>
    <row r="171" spans="1:14" x14ac:dyDescent="0.2">
      <c r="A171" s="3" t="s">
        <v>205</v>
      </c>
      <c r="B171" s="3" t="s">
        <v>1197</v>
      </c>
      <c r="C171" s="4">
        <v>13668</v>
      </c>
      <c r="D171" s="4" t="s">
        <v>689</v>
      </c>
      <c r="E171" s="4" t="s">
        <v>1201</v>
      </c>
      <c r="F171" s="27" t="e">
        <f>VLOOKUP(B171,Sheet5!A171:J494,2,0)</f>
        <v>#N/A</v>
      </c>
      <c r="G171" s="27" t="e">
        <f>VLOOKUP(B171,Sheet5!A171:J494,3,0)</f>
        <v>#N/A</v>
      </c>
      <c r="H171" s="27" t="e">
        <f>VLOOKUP(B171,Sheet5!A171:J494,4,0)</f>
        <v>#N/A</v>
      </c>
      <c r="I171" s="27" t="e">
        <f>VLOOKUP(B171,Sheet5!A171:J494,5,0)</f>
        <v>#N/A</v>
      </c>
      <c r="J171" s="27" t="e">
        <f>VLOOKUP(B171,Sheet5!A171:J494,6,0)</f>
        <v>#N/A</v>
      </c>
      <c r="K171" s="27" t="e">
        <f>VLOOKUP(B171,Sheet5!A171:J494,7,0)</f>
        <v>#N/A</v>
      </c>
      <c r="L171" s="27" t="e">
        <f>VLOOKUP(B171,Sheet5!A171:J494,8,0)</f>
        <v>#N/A</v>
      </c>
      <c r="M171" s="27" t="e">
        <f>VLOOKUP(B171,Sheet5!A171:J494,9,0)</f>
        <v>#N/A</v>
      </c>
      <c r="N171" s="27" t="e">
        <f>VLOOKUP(B171,Sheet5!A171:J494,10,0)</f>
        <v>#N/A</v>
      </c>
    </row>
    <row r="172" spans="1:14" x14ac:dyDescent="0.2">
      <c r="A172" s="3" t="s">
        <v>206</v>
      </c>
      <c r="B172" s="3" t="s">
        <v>613</v>
      </c>
      <c r="C172" s="4">
        <v>20631</v>
      </c>
      <c r="D172" s="4" t="s">
        <v>689</v>
      </c>
      <c r="E172" s="4" t="s">
        <v>1201</v>
      </c>
      <c r="F172" s="27" t="e">
        <f>VLOOKUP(B172,Sheet5!A172:J495,2,0)</f>
        <v>#N/A</v>
      </c>
      <c r="G172" s="27" t="e">
        <f>VLOOKUP(B172,Sheet5!A172:J495,3,0)</f>
        <v>#N/A</v>
      </c>
      <c r="H172" s="27" t="e">
        <f>VLOOKUP(B172,Sheet5!A172:J495,4,0)</f>
        <v>#N/A</v>
      </c>
      <c r="I172" s="27" t="e">
        <f>VLOOKUP(B172,Sheet5!A172:J495,5,0)</f>
        <v>#N/A</v>
      </c>
      <c r="J172" s="27" t="e">
        <f>VLOOKUP(B172,Sheet5!A172:J495,6,0)</f>
        <v>#N/A</v>
      </c>
      <c r="K172" s="27" t="e">
        <f>VLOOKUP(B172,Sheet5!A172:J495,7,0)</f>
        <v>#N/A</v>
      </c>
      <c r="L172" s="27" t="e">
        <f>VLOOKUP(B172,Sheet5!A172:J495,8,0)</f>
        <v>#N/A</v>
      </c>
      <c r="M172" s="27" t="e">
        <f>VLOOKUP(B172,Sheet5!A172:J495,9,0)</f>
        <v>#N/A</v>
      </c>
      <c r="N172" s="27" t="e">
        <f>VLOOKUP(B172,Sheet5!A172:J495,10,0)</f>
        <v>#N/A</v>
      </c>
    </row>
    <row r="173" spans="1:14" s="24" customFormat="1" x14ac:dyDescent="0.2">
      <c r="A173" s="22" t="s">
        <v>207</v>
      </c>
      <c r="B173" s="22" t="s">
        <v>208</v>
      </c>
      <c r="C173" s="23">
        <v>4412</v>
      </c>
      <c r="D173" s="23" t="s">
        <v>689</v>
      </c>
      <c r="E173" s="23" t="s">
        <v>1201</v>
      </c>
      <c r="F173" s="27" t="e">
        <f>VLOOKUP(B173,Sheet5!A173:J496,2,0)</f>
        <v>#N/A</v>
      </c>
      <c r="G173" s="27" t="e">
        <f>VLOOKUP(B173,Sheet5!A173:J496,3,0)</f>
        <v>#N/A</v>
      </c>
      <c r="H173" s="27" t="e">
        <f>VLOOKUP(B173,Sheet5!A173:J496,4,0)</f>
        <v>#N/A</v>
      </c>
      <c r="I173" s="27" t="e">
        <f>VLOOKUP(B173,Sheet5!A173:J496,5,0)</f>
        <v>#N/A</v>
      </c>
      <c r="J173" s="27" t="e">
        <f>VLOOKUP(B173,Sheet5!A173:J496,6,0)</f>
        <v>#N/A</v>
      </c>
      <c r="K173" s="27" t="e">
        <f>VLOOKUP(B173,Sheet5!A173:J496,7,0)</f>
        <v>#N/A</v>
      </c>
      <c r="L173" s="27" t="e">
        <f>VLOOKUP(B173,Sheet5!A173:J496,8,0)</f>
        <v>#N/A</v>
      </c>
      <c r="M173" s="27" t="e">
        <f>VLOOKUP(B173,Sheet5!A173:J496,9,0)</f>
        <v>#N/A</v>
      </c>
      <c r="N173" s="27" t="e">
        <f>VLOOKUP(B173,Sheet5!A173:J496,10,0)</f>
        <v>#N/A</v>
      </c>
    </row>
    <row r="174" spans="1:14" x14ac:dyDescent="0.2">
      <c r="A174" s="3" t="s">
        <v>209</v>
      </c>
      <c r="B174" s="5" t="s">
        <v>210</v>
      </c>
      <c r="C174" s="4">
        <v>17832</v>
      </c>
      <c r="D174" s="4" t="s">
        <v>689</v>
      </c>
      <c r="E174" s="4" t="s">
        <v>1201</v>
      </c>
      <c r="F174" s="27" t="e">
        <f>VLOOKUP(B174,Sheet5!A174:J497,2,0)</f>
        <v>#N/A</v>
      </c>
      <c r="G174" s="27" t="e">
        <f>VLOOKUP(B174,Sheet5!A174:J497,3,0)</f>
        <v>#N/A</v>
      </c>
      <c r="H174" s="27" t="e">
        <f>VLOOKUP(B174,Sheet5!A174:J497,4,0)</f>
        <v>#N/A</v>
      </c>
      <c r="I174" s="27" t="e">
        <f>VLOOKUP(B174,Sheet5!A174:J497,5,0)</f>
        <v>#N/A</v>
      </c>
      <c r="J174" s="27" t="e">
        <f>VLOOKUP(B174,Sheet5!A174:J497,6,0)</f>
        <v>#N/A</v>
      </c>
      <c r="K174" s="27" t="e">
        <f>VLOOKUP(B174,Sheet5!A174:J497,7,0)</f>
        <v>#N/A</v>
      </c>
      <c r="L174" s="27" t="e">
        <f>VLOOKUP(B174,Sheet5!A174:J497,8,0)</f>
        <v>#N/A</v>
      </c>
      <c r="M174" s="27" t="e">
        <f>VLOOKUP(B174,Sheet5!A174:J497,9,0)</f>
        <v>#N/A</v>
      </c>
      <c r="N174" s="27" t="e">
        <f>VLOOKUP(B174,Sheet5!A174:J497,10,0)</f>
        <v>#N/A</v>
      </c>
    </row>
    <row r="175" spans="1:14" x14ac:dyDescent="0.2">
      <c r="A175" s="3" t="s">
        <v>211</v>
      </c>
      <c r="B175" s="3" t="s">
        <v>212</v>
      </c>
      <c r="C175" s="4">
        <v>17868</v>
      </c>
      <c r="D175" s="4" t="s">
        <v>689</v>
      </c>
      <c r="E175" s="4" t="s">
        <v>1201</v>
      </c>
      <c r="F175" s="27" t="e">
        <f>VLOOKUP(B175,Sheet5!A175:J498,2,0)</f>
        <v>#N/A</v>
      </c>
      <c r="G175" s="27" t="e">
        <f>VLOOKUP(B175,Sheet5!A175:J498,3,0)</f>
        <v>#N/A</v>
      </c>
      <c r="H175" s="27" t="e">
        <f>VLOOKUP(B175,Sheet5!A175:J498,4,0)</f>
        <v>#N/A</v>
      </c>
      <c r="I175" s="27" t="e">
        <f>VLOOKUP(B175,Sheet5!A175:J498,5,0)</f>
        <v>#N/A</v>
      </c>
      <c r="J175" s="27" t="e">
        <f>VLOOKUP(B175,Sheet5!A175:J498,6,0)</f>
        <v>#N/A</v>
      </c>
      <c r="K175" s="27" t="e">
        <f>VLOOKUP(B175,Sheet5!A175:J498,7,0)</f>
        <v>#N/A</v>
      </c>
      <c r="L175" s="27" t="e">
        <f>VLOOKUP(B175,Sheet5!A175:J498,8,0)</f>
        <v>#N/A</v>
      </c>
      <c r="M175" s="27" t="e">
        <f>VLOOKUP(B175,Sheet5!A175:J498,9,0)</f>
        <v>#N/A</v>
      </c>
      <c r="N175" s="27" t="e">
        <f>VLOOKUP(B175,Sheet5!A175:J498,10,0)</f>
        <v>#N/A</v>
      </c>
    </row>
    <row r="176" spans="1:14" x14ac:dyDescent="0.2">
      <c r="A176" s="3" t="s">
        <v>213</v>
      </c>
      <c r="B176" s="3" t="s">
        <v>214</v>
      </c>
      <c r="C176" s="4">
        <v>19901</v>
      </c>
      <c r="D176" s="4" t="s">
        <v>689</v>
      </c>
      <c r="E176" s="4" t="s">
        <v>1201</v>
      </c>
      <c r="F176" s="27" t="e">
        <f>VLOOKUP(B176,Sheet5!A176:J499,2,0)</f>
        <v>#N/A</v>
      </c>
      <c r="G176" s="27" t="e">
        <f>VLOOKUP(B176,Sheet5!A176:J499,3,0)</f>
        <v>#N/A</v>
      </c>
      <c r="H176" s="27" t="e">
        <f>VLOOKUP(B176,Sheet5!A176:J499,4,0)</f>
        <v>#N/A</v>
      </c>
      <c r="I176" s="27" t="e">
        <f>VLOOKUP(B176,Sheet5!A176:J499,5,0)</f>
        <v>#N/A</v>
      </c>
      <c r="J176" s="27" t="e">
        <f>VLOOKUP(B176,Sheet5!A176:J499,6,0)</f>
        <v>#N/A</v>
      </c>
      <c r="K176" s="27" t="e">
        <f>VLOOKUP(B176,Sheet5!A176:J499,7,0)</f>
        <v>#N/A</v>
      </c>
      <c r="L176" s="27" t="e">
        <f>VLOOKUP(B176,Sheet5!A176:J499,8,0)</f>
        <v>#N/A</v>
      </c>
      <c r="M176" s="27" t="e">
        <f>VLOOKUP(B176,Sheet5!A176:J499,9,0)</f>
        <v>#N/A</v>
      </c>
      <c r="N176" s="27" t="e">
        <f>VLOOKUP(B176,Sheet5!A176:J499,10,0)</f>
        <v>#N/A</v>
      </c>
    </row>
    <row r="177" spans="1:14" x14ac:dyDescent="0.2">
      <c r="A177" s="3" t="s">
        <v>215</v>
      </c>
      <c r="B177" s="3" t="s">
        <v>216</v>
      </c>
      <c r="C177" s="4">
        <v>19502</v>
      </c>
      <c r="D177" s="4" t="s">
        <v>689</v>
      </c>
      <c r="E177" s="4" t="s">
        <v>1201</v>
      </c>
      <c r="F177" s="27" t="str">
        <f>VLOOKUP(B177,Sheet5!A177:J500,2,0)</f>
        <v>笔记本电脑</v>
      </c>
      <c r="G177" s="27" t="str">
        <f>VLOOKUP(B177,Sheet5!A177:J500,3,0)</f>
        <v>ThinkPad</v>
      </c>
      <c r="H177" s="27" t="str">
        <f>VLOOKUP(B177,Sheet5!A177:J500,4,0)</f>
        <v>X230</v>
      </c>
      <c r="I177" s="27" t="str">
        <f>VLOOKUP(B177,Sheet5!A177:J500,5,0)</f>
        <v>95.00</v>
      </c>
      <c r="J177" s="27" t="str">
        <f>VLOOKUP(B177,Sheet5!A177:J500,6,0)</f>
        <v>2018/11/13</v>
      </c>
      <c r="K177" s="27" t="str">
        <f>VLOOKUP(B177,Sheet5!A177:J500,7,0)</f>
        <v>易点租</v>
      </c>
      <c r="L177" s="27" t="str">
        <f>VLOOKUP(B177,Sheet5!A177:J500,8,0)</f>
        <v>i5</v>
      </c>
      <c r="M177" s="27" t="str">
        <f>VLOOKUP(B177,Sheet5!A177:J500,9,0)</f>
        <v>8G</v>
      </c>
      <c r="N177" s="27" t="str">
        <f>VLOOKUP(B177,Sheet5!A177:J500,10,0)</f>
        <v>500G</v>
      </c>
    </row>
    <row r="178" spans="1:14" x14ac:dyDescent="0.2">
      <c r="A178" s="3" t="s">
        <v>217</v>
      </c>
      <c r="B178" s="3" t="s">
        <v>218</v>
      </c>
      <c r="C178" s="4">
        <v>19603</v>
      </c>
      <c r="D178" s="4" t="s">
        <v>689</v>
      </c>
      <c r="E178" s="4" t="s">
        <v>1201</v>
      </c>
      <c r="F178" s="27" t="str">
        <f>VLOOKUP(B178,Sheet5!A178:J501,2,0)</f>
        <v>笔记本电脑</v>
      </c>
      <c r="G178" s="27" t="str">
        <f>VLOOKUP(B178,Sheet5!A178:J501,3,0)</f>
        <v>ThinkPad</v>
      </c>
      <c r="H178" s="27" t="str">
        <f>VLOOKUP(B178,Sheet5!A178:J501,4,0)</f>
        <v>X230</v>
      </c>
      <c r="I178" s="27" t="str">
        <f>VLOOKUP(B178,Sheet5!A178:J501,5,0)</f>
        <v>95.00</v>
      </c>
      <c r="J178" s="27" t="str">
        <f>VLOOKUP(B178,Sheet5!A178:J501,6,0)</f>
        <v>2018/11/20</v>
      </c>
      <c r="K178" s="27" t="str">
        <f>VLOOKUP(B178,Sheet5!A178:J501,7,0)</f>
        <v>易点租</v>
      </c>
      <c r="L178" s="27" t="str">
        <f>VLOOKUP(B178,Sheet5!A178:J501,8,0)</f>
        <v>i5</v>
      </c>
      <c r="M178" s="27" t="str">
        <f>VLOOKUP(B178,Sheet5!A178:J501,9,0)</f>
        <v>8G</v>
      </c>
      <c r="N178" s="27" t="str">
        <f>VLOOKUP(B178,Sheet5!A178:J501,10,0)</f>
        <v>500G</v>
      </c>
    </row>
    <row r="179" spans="1:14" x14ac:dyDescent="0.2">
      <c r="A179" s="3" t="s">
        <v>219</v>
      </c>
      <c r="B179" s="3" t="s">
        <v>220</v>
      </c>
      <c r="C179" s="4">
        <v>19947</v>
      </c>
      <c r="D179" s="4" t="s">
        <v>689</v>
      </c>
      <c r="E179" s="4" t="s">
        <v>1201</v>
      </c>
      <c r="F179" s="27" t="e">
        <f>VLOOKUP(B179,Sheet5!A179:J502,2,0)</f>
        <v>#N/A</v>
      </c>
      <c r="G179" s="27" t="e">
        <f>VLOOKUP(B179,Sheet5!A179:J502,3,0)</f>
        <v>#N/A</v>
      </c>
      <c r="H179" s="27" t="e">
        <f>VLOOKUP(B179,Sheet5!A179:J502,4,0)</f>
        <v>#N/A</v>
      </c>
      <c r="I179" s="27" t="e">
        <f>VLOOKUP(B179,Sheet5!A179:J502,5,0)</f>
        <v>#N/A</v>
      </c>
      <c r="J179" s="27" t="e">
        <f>VLOOKUP(B179,Sheet5!A179:J502,6,0)</f>
        <v>#N/A</v>
      </c>
      <c r="K179" s="27" t="e">
        <f>VLOOKUP(B179,Sheet5!A179:J502,7,0)</f>
        <v>#N/A</v>
      </c>
      <c r="L179" s="27" t="e">
        <f>VLOOKUP(B179,Sheet5!A179:J502,8,0)</f>
        <v>#N/A</v>
      </c>
      <c r="M179" s="27" t="e">
        <f>VLOOKUP(B179,Sheet5!A179:J502,9,0)</f>
        <v>#N/A</v>
      </c>
      <c r="N179" s="27" t="e">
        <f>VLOOKUP(B179,Sheet5!A179:J502,10,0)</f>
        <v>#N/A</v>
      </c>
    </row>
    <row r="180" spans="1:14" x14ac:dyDescent="0.2">
      <c r="A180" s="3" t="s">
        <v>221</v>
      </c>
      <c r="B180" s="3" t="s">
        <v>222</v>
      </c>
      <c r="C180" s="4">
        <v>19888</v>
      </c>
      <c r="D180" s="4" t="s">
        <v>689</v>
      </c>
      <c r="E180" s="4" t="s">
        <v>1201</v>
      </c>
      <c r="F180" s="27" t="e">
        <f>VLOOKUP(B180,Sheet5!A180:J503,2,0)</f>
        <v>#N/A</v>
      </c>
      <c r="G180" s="27" t="e">
        <f>VLOOKUP(B180,Sheet5!A180:J503,3,0)</f>
        <v>#N/A</v>
      </c>
      <c r="H180" s="27" t="e">
        <f>VLOOKUP(B180,Sheet5!A180:J503,4,0)</f>
        <v>#N/A</v>
      </c>
      <c r="I180" s="27" t="e">
        <f>VLOOKUP(B180,Sheet5!A180:J503,5,0)</f>
        <v>#N/A</v>
      </c>
      <c r="J180" s="27" t="e">
        <f>VLOOKUP(B180,Sheet5!A180:J503,6,0)</f>
        <v>#N/A</v>
      </c>
      <c r="K180" s="27" t="e">
        <f>VLOOKUP(B180,Sheet5!A180:J503,7,0)</f>
        <v>#N/A</v>
      </c>
      <c r="L180" s="27" t="e">
        <f>VLOOKUP(B180,Sheet5!A180:J503,8,0)</f>
        <v>#N/A</v>
      </c>
      <c r="M180" s="27" t="e">
        <f>VLOOKUP(B180,Sheet5!A180:J503,9,0)</f>
        <v>#N/A</v>
      </c>
      <c r="N180" s="27" t="e">
        <f>VLOOKUP(B180,Sheet5!A180:J503,10,0)</f>
        <v>#N/A</v>
      </c>
    </row>
    <row r="181" spans="1:14" x14ac:dyDescent="0.2">
      <c r="A181" s="3" t="s">
        <v>223</v>
      </c>
      <c r="B181" s="3" t="s">
        <v>225</v>
      </c>
      <c r="C181" s="4">
        <v>20129</v>
      </c>
      <c r="D181" s="4" t="s">
        <v>689</v>
      </c>
      <c r="E181" s="4" t="s">
        <v>1201</v>
      </c>
      <c r="F181" s="27" t="str">
        <f>VLOOKUP(B181,Sheet5!A181:J504,2,0)</f>
        <v>笔记本电脑</v>
      </c>
      <c r="G181" s="27" t="str">
        <f>VLOOKUP(B181,Sheet5!A181:J504,3,0)</f>
        <v>ThinkPad</v>
      </c>
      <c r="H181" s="27" t="str">
        <f>VLOOKUP(B181,Sheet5!A181:J504,4,0)</f>
        <v>T440</v>
      </c>
      <c r="I181" s="27" t="str">
        <f>VLOOKUP(B181,Sheet5!A181:J504,5,0)</f>
        <v>115.00</v>
      </c>
      <c r="J181" s="27" t="str">
        <f>VLOOKUP(B181,Sheet5!A181:J504,6,0)</f>
        <v>2018/03/03</v>
      </c>
      <c r="K181" s="27" t="str">
        <f>VLOOKUP(B181,Sheet5!A181:J504,7,0)</f>
        <v>易点租</v>
      </c>
      <c r="L181" s="27" t="str">
        <f>VLOOKUP(B181,Sheet5!A181:J504,8,0)</f>
        <v/>
      </c>
      <c r="M181" s="27" t="str">
        <f>VLOOKUP(B181,Sheet5!A181:J504,9,0)</f>
        <v/>
      </c>
      <c r="N181" s="27" t="str">
        <f>VLOOKUP(B181,Sheet5!A181:J504,10,0)</f>
        <v/>
      </c>
    </row>
    <row r="182" spans="1:14" x14ac:dyDescent="0.2">
      <c r="A182" s="3" t="s">
        <v>1182</v>
      </c>
      <c r="B182" s="3" t="s">
        <v>1180</v>
      </c>
      <c r="C182" s="3" t="s">
        <v>1181</v>
      </c>
      <c r="D182" s="4" t="s">
        <v>689</v>
      </c>
      <c r="E182" s="4" t="s">
        <v>1201</v>
      </c>
      <c r="F182" s="27" t="str">
        <f>VLOOKUP(B182,Sheet5!A182:J505,2,0)</f>
        <v>笔记本电脑</v>
      </c>
      <c r="G182" s="27" t="str">
        <f>VLOOKUP(B182,Sheet5!A182:J505,3,0)</f>
        <v>ThinkPad</v>
      </c>
      <c r="H182" s="27" t="str">
        <f>VLOOKUP(B182,Sheet5!A182:J505,4,0)</f>
        <v>T440</v>
      </c>
      <c r="I182" s="27" t="str">
        <f>VLOOKUP(B182,Sheet5!A182:J505,5,0)</f>
        <v>115.00</v>
      </c>
      <c r="J182" s="27" t="str">
        <f>VLOOKUP(B182,Sheet5!A182:J505,6,0)</f>
        <v>2018/03/03</v>
      </c>
      <c r="K182" s="27" t="str">
        <f>VLOOKUP(B182,Sheet5!A182:J505,7,0)</f>
        <v>易点租</v>
      </c>
      <c r="L182" s="27" t="str">
        <f>VLOOKUP(B182,Sheet5!A182:J505,8,0)</f>
        <v/>
      </c>
      <c r="M182" s="27" t="str">
        <f>VLOOKUP(B182,Sheet5!A182:J505,9,0)</f>
        <v/>
      </c>
      <c r="N182" s="27" t="str">
        <f>VLOOKUP(B182,Sheet5!A182:J505,10,0)</f>
        <v/>
      </c>
    </row>
    <row r="183" spans="1:14" x14ac:dyDescent="0.2">
      <c r="A183" s="3" t="s">
        <v>226</v>
      </c>
      <c r="B183" s="3" t="s">
        <v>227</v>
      </c>
      <c r="C183" s="4">
        <v>20512</v>
      </c>
      <c r="D183" s="4" t="s">
        <v>689</v>
      </c>
      <c r="E183" s="4" t="s">
        <v>1201</v>
      </c>
      <c r="F183" s="27" t="str">
        <f>VLOOKUP(B183,Sheet5!A183:J506,2,0)</f>
        <v>笔记本电脑</v>
      </c>
      <c r="G183" s="27" t="str">
        <f>VLOOKUP(B183,Sheet5!A183:J506,3,0)</f>
        <v>ThinkPad</v>
      </c>
      <c r="H183" s="27" t="str">
        <f>VLOOKUP(B183,Sheet5!A183:J506,4,0)</f>
        <v>X240</v>
      </c>
      <c r="I183" s="27" t="str">
        <f>VLOOKUP(B183,Sheet5!A183:J506,5,0)</f>
        <v>115.00</v>
      </c>
      <c r="J183" s="27" t="str">
        <f>VLOOKUP(B183,Sheet5!A183:J506,6,0)</f>
        <v>2018/04/20</v>
      </c>
      <c r="K183" s="27" t="str">
        <f>VLOOKUP(B183,Sheet5!A183:J506,7,0)</f>
        <v>易点租</v>
      </c>
      <c r="L183" s="27" t="str">
        <f>VLOOKUP(B183,Sheet5!A183:J506,8,0)</f>
        <v>i5</v>
      </c>
      <c r="M183" s="27" t="str">
        <f>VLOOKUP(B183,Sheet5!A183:J506,9,0)</f>
        <v>8G</v>
      </c>
      <c r="N183" s="27" t="str">
        <f>VLOOKUP(B183,Sheet5!A183:J506,10,0)</f>
        <v>500G</v>
      </c>
    </row>
    <row r="184" spans="1:14" x14ac:dyDescent="0.2">
      <c r="A184" s="3" t="s">
        <v>228</v>
      </c>
      <c r="B184" s="3" t="s">
        <v>229</v>
      </c>
      <c r="C184" s="4">
        <v>10126</v>
      </c>
      <c r="D184" s="4" t="s">
        <v>689</v>
      </c>
      <c r="E184" s="4" t="s">
        <v>1201</v>
      </c>
      <c r="F184" s="27" t="str">
        <f>VLOOKUP(B184,Sheet5!A184:J507,2,0)</f>
        <v>笔记本电脑</v>
      </c>
      <c r="G184" s="27" t="str">
        <f>VLOOKUP(B184,Sheet5!A184:J507,3,0)</f>
        <v>戴尔/DELL</v>
      </c>
      <c r="H184" s="27" t="str">
        <f>VLOOKUP(B184,Sheet5!A184:J507,4,0)</f>
        <v>3490</v>
      </c>
      <c r="I184" s="27" t="str">
        <f>VLOOKUP(B184,Sheet5!A184:J507,5,0)</f>
        <v>105.00</v>
      </c>
      <c r="J184" s="27" t="str">
        <f>VLOOKUP(B184,Sheet5!A184:J507,6,0)</f>
        <v>2018/04/20</v>
      </c>
      <c r="K184" s="27" t="str">
        <f>VLOOKUP(B184,Sheet5!A184:J507,7,0)</f>
        <v>易点租</v>
      </c>
      <c r="L184" s="27" t="str">
        <f>VLOOKUP(B184,Sheet5!A184:J507,8,0)</f>
        <v/>
      </c>
      <c r="M184" s="27" t="str">
        <f>VLOOKUP(B184,Sheet5!A184:J507,9,0)</f>
        <v/>
      </c>
      <c r="N184" s="27" t="str">
        <f>VLOOKUP(B184,Sheet5!A184:J507,10,0)</f>
        <v/>
      </c>
    </row>
    <row r="185" spans="1:14" x14ac:dyDescent="0.2">
      <c r="A185" s="3" t="s">
        <v>230</v>
      </c>
      <c r="B185" s="3" t="s">
        <v>1193</v>
      </c>
      <c r="C185" s="4">
        <v>18665</v>
      </c>
      <c r="D185" s="4" t="s">
        <v>689</v>
      </c>
      <c r="E185" s="4" t="s">
        <v>1201</v>
      </c>
      <c r="F185" s="27" t="e">
        <f>VLOOKUP(B185,Sheet5!A185:J508,2,0)</f>
        <v>#N/A</v>
      </c>
      <c r="G185" s="27" t="e">
        <f>VLOOKUP(B185,Sheet5!A185:J508,3,0)</f>
        <v>#N/A</v>
      </c>
      <c r="H185" s="27" t="e">
        <f>VLOOKUP(B185,Sheet5!A185:J508,4,0)</f>
        <v>#N/A</v>
      </c>
      <c r="I185" s="27" t="e">
        <f>VLOOKUP(B185,Sheet5!A185:J508,5,0)</f>
        <v>#N/A</v>
      </c>
      <c r="J185" s="27" t="e">
        <f>VLOOKUP(B185,Sheet5!A185:J508,6,0)</f>
        <v>#N/A</v>
      </c>
      <c r="K185" s="27" t="e">
        <f>VLOOKUP(B185,Sheet5!A185:J508,7,0)</f>
        <v>#N/A</v>
      </c>
      <c r="L185" s="27" t="e">
        <f>VLOOKUP(B185,Sheet5!A185:J508,8,0)</f>
        <v>#N/A</v>
      </c>
      <c r="M185" s="27" t="e">
        <f>VLOOKUP(B185,Sheet5!A185:J508,9,0)</f>
        <v>#N/A</v>
      </c>
      <c r="N185" s="27" t="e">
        <f>VLOOKUP(B185,Sheet5!A185:J508,10,0)</f>
        <v>#N/A</v>
      </c>
    </row>
    <row r="186" spans="1:14" x14ac:dyDescent="0.2">
      <c r="A186" s="3" t="s">
        <v>231</v>
      </c>
      <c r="B186" s="3" t="s">
        <v>232</v>
      </c>
      <c r="C186" s="4">
        <v>20629</v>
      </c>
      <c r="D186" s="4" t="s">
        <v>689</v>
      </c>
      <c r="E186" s="4" t="s">
        <v>1201</v>
      </c>
      <c r="F186" s="27" t="str">
        <f>VLOOKUP(B186,Sheet5!A186:J509,2,0)</f>
        <v>笔记本电脑</v>
      </c>
      <c r="G186" s="27" t="str">
        <f>VLOOKUP(B186,Sheet5!A186:J509,3,0)</f>
        <v>戴尔/DELL</v>
      </c>
      <c r="H186" s="27" t="str">
        <f>VLOOKUP(B186,Sheet5!A186:J509,4,0)</f>
        <v>3490</v>
      </c>
      <c r="I186" s="27" t="str">
        <f>VLOOKUP(B186,Sheet5!A186:J509,5,0)</f>
        <v>105.00</v>
      </c>
      <c r="J186" s="27" t="str">
        <f>VLOOKUP(B186,Sheet5!A186:J509,6,0)</f>
        <v>2018/04/20</v>
      </c>
      <c r="K186" s="27" t="str">
        <f>VLOOKUP(B186,Sheet5!A186:J509,7,0)</f>
        <v>易点租</v>
      </c>
      <c r="L186" s="27" t="str">
        <f>VLOOKUP(B186,Sheet5!A186:J509,8,0)</f>
        <v/>
      </c>
      <c r="M186" s="27" t="str">
        <f>VLOOKUP(B186,Sheet5!A186:J509,9,0)</f>
        <v/>
      </c>
      <c r="N186" s="27" t="str">
        <f>VLOOKUP(B186,Sheet5!A186:J509,10,0)</f>
        <v/>
      </c>
    </row>
    <row r="187" spans="1:14" x14ac:dyDescent="0.2">
      <c r="A187" s="3" t="s">
        <v>206</v>
      </c>
      <c r="B187" s="3" t="s">
        <v>233</v>
      </c>
      <c r="C187" s="4">
        <v>20631</v>
      </c>
      <c r="D187" s="4" t="s">
        <v>689</v>
      </c>
      <c r="E187" s="4" t="s">
        <v>1201</v>
      </c>
      <c r="F187" s="27" t="str">
        <f>VLOOKUP(B187,Sheet5!A187:J510,2,0)</f>
        <v>笔记本电脑</v>
      </c>
      <c r="G187" s="27" t="str">
        <f>VLOOKUP(B187,Sheet5!A187:J510,3,0)</f>
        <v>戴尔/DELL</v>
      </c>
      <c r="H187" s="27" t="str">
        <f>VLOOKUP(B187,Sheet5!A187:J510,4,0)</f>
        <v>3490</v>
      </c>
      <c r="I187" s="27" t="str">
        <f>VLOOKUP(B187,Sheet5!A187:J510,5,0)</f>
        <v>105.00</v>
      </c>
      <c r="J187" s="27" t="str">
        <f>VLOOKUP(B187,Sheet5!A187:J510,6,0)</f>
        <v>2018/04/20</v>
      </c>
      <c r="K187" s="27" t="str">
        <f>VLOOKUP(B187,Sheet5!A187:J510,7,0)</f>
        <v>易点租</v>
      </c>
      <c r="L187" s="27" t="str">
        <f>VLOOKUP(B187,Sheet5!A187:J510,8,0)</f>
        <v/>
      </c>
      <c r="M187" s="27" t="str">
        <f>VLOOKUP(B187,Sheet5!A187:J510,9,0)</f>
        <v/>
      </c>
      <c r="N187" s="27" t="str">
        <f>VLOOKUP(B187,Sheet5!A187:J510,10,0)</f>
        <v/>
      </c>
    </row>
    <row r="188" spans="1:14" x14ac:dyDescent="0.2">
      <c r="A188" s="3" t="s">
        <v>234</v>
      </c>
      <c r="B188" s="3" t="s">
        <v>235</v>
      </c>
      <c r="C188" s="4">
        <v>734</v>
      </c>
      <c r="D188" s="4" t="s">
        <v>689</v>
      </c>
      <c r="E188" s="4" t="s">
        <v>1201</v>
      </c>
      <c r="F188" s="27" t="e">
        <f>VLOOKUP(B188,Sheet5!A188:J511,2,0)</f>
        <v>#N/A</v>
      </c>
      <c r="G188" s="27" t="e">
        <f>VLOOKUP(B188,Sheet5!A188:J511,3,0)</f>
        <v>#N/A</v>
      </c>
      <c r="H188" s="27" t="e">
        <f>VLOOKUP(B188,Sheet5!A188:J511,4,0)</f>
        <v>#N/A</v>
      </c>
      <c r="I188" s="27" t="e">
        <f>VLOOKUP(B188,Sheet5!A188:J511,5,0)</f>
        <v>#N/A</v>
      </c>
      <c r="J188" s="27" t="e">
        <f>VLOOKUP(B188,Sheet5!A188:J511,6,0)</f>
        <v>#N/A</v>
      </c>
      <c r="K188" s="27" t="e">
        <f>VLOOKUP(B188,Sheet5!A188:J511,7,0)</f>
        <v>#N/A</v>
      </c>
      <c r="L188" s="27" t="e">
        <f>VLOOKUP(B188,Sheet5!A188:J511,8,0)</f>
        <v>#N/A</v>
      </c>
      <c r="M188" s="27" t="e">
        <f>VLOOKUP(B188,Sheet5!A188:J511,9,0)</f>
        <v>#N/A</v>
      </c>
      <c r="N188" s="27" t="e">
        <f>VLOOKUP(B188,Sheet5!A188:J511,10,0)</f>
        <v>#N/A</v>
      </c>
    </row>
    <row r="189" spans="1:14" x14ac:dyDescent="0.2">
      <c r="A189" s="3" t="s">
        <v>236</v>
      </c>
      <c r="B189" s="3" t="s">
        <v>237</v>
      </c>
      <c r="C189" s="4">
        <v>2267</v>
      </c>
      <c r="D189" s="4" t="s">
        <v>689</v>
      </c>
      <c r="E189" s="4" t="s">
        <v>1201</v>
      </c>
      <c r="F189" s="27" t="e">
        <f>VLOOKUP(B189,Sheet5!A189:J512,2,0)</f>
        <v>#N/A</v>
      </c>
      <c r="G189" s="27" t="e">
        <f>VLOOKUP(B189,Sheet5!A189:J512,3,0)</f>
        <v>#N/A</v>
      </c>
      <c r="H189" s="27" t="e">
        <f>VLOOKUP(B189,Sheet5!A189:J512,4,0)</f>
        <v>#N/A</v>
      </c>
      <c r="I189" s="27" t="e">
        <f>VLOOKUP(B189,Sheet5!A189:J512,5,0)</f>
        <v>#N/A</v>
      </c>
      <c r="J189" s="27" t="e">
        <f>VLOOKUP(B189,Sheet5!A189:J512,6,0)</f>
        <v>#N/A</v>
      </c>
      <c r="K189" s="27" t="e">
        <f>VLOOKUP(B189,Sheet5!A189:J512,7,0)</f>
        <v>#N/A</v>
      </c>
      <c r="L189" s="27" t="e">
        <f>VLOOKUP(B189,Sheet5!A189:J512,8,0)</f>
        <v>#N/A</v>
      </c>
      <c r="M189" s="27" t="e">
        <f>VLOOKUP(B189,Sheet5!A189:J512,9,0)</f>
        <v>#N/A</v>
      </c>
      <c r="N189" s="27" t="e">
        <f>VLOOKUP(B189,Sheet5!A189:J512,10,0)</f>
        <v>#N/A</v>
      </c>
    </row>
    <row r="190" spans="1:14" x14ac:dyDescent="0.2">
      <c r="A190" s="3" t="s">
        <v>238</v>
      </c>
      <c r="B190" s="3" t="s">
        <v>239</v>
      </c>
      <c r="C190" s="4">
        <v>532</v>
      </c>
      <c r="D190" s="4" t="s">
        <v>689</v>
      </c>
      <c r="E190" s="4" t="s">
        <v>1201</v>
      </c>
      <c r="F190" s="27" t="e">
        <f>VLOOKUP(B190,Sheet5!A190:J513,2,0)</f>
        <v>#N/A</v>
      </c>
      <c r="G190" s="27" t="e">
        <f>VLOOKUP(B190,Sheet5!A190:J513,3,0)</f>
        <v>#N/A</v>
      </c>
      <c r="H190" s="27" t="e">
        <f>VLOOKUP(B190,Sheet5!A190:J513,4,0)</f>
        <v>#N/A</v>
      </c>
      <c r="I190" s="27" t="e">
        <f>VLOOKUP(B190,Sheet5!A190:J513,5,0)</f>
        <v>#N/A</v>
      </c>
      <c r="J190" s="27" t="e">
        <f>VLOOKUP(B190,Sheet5!A190:J513,6,0)</f>
        <v>#N/A</v>
      </c>
      <c r="K190" s="27" t="e">
        <f>VLOOKUP(B190,Sheet5!A190:J513,7,0)</f>
        <v>#N/A</v>
      </c>
      <c r="L190" s="27" t="e">
        <f>VLOOKUP(B190,Sheet5!A190:J513,8,0)</f>
        <v>#N/A</v>
      </c>
      <c r="M190" s="27" t="e">
        <f>VLOOKUP(B190,Sheet5!A190:J513,9,0)</f>
        <v>#N/A</v>
      </c>
      <c r="N190" s="27" t="e">
        <f>VLOOKUP(B190,Sheet5!A190:J513,10,0)</f>
        <v>#N/A</v>
      </c>
    </row>
    <row r="191" spans="1:14" x14ac:dyDescent="0.2">
      <c r="A191" s="3" t="s">
        <v>494</v>
      </c>
      <c r="B191" s="3" t="s">
        <v>240</v>
      </c>
      <c r="C191" s="4">
        <v>10322</v>
      </c>
      <c r="D191" s="4" t="s">
        <v>689</v>
      </c>
      <c r="E191" s="4" t="s">
        <v>1201</v>
      </c>
      <c r="F191" s="27" t="e">
        <f>VLOOKUP(B191,Sheet5!A191:J514,2,0)</f>
        <v>#N/A</v>
      </c>
      <c r="G191" s="27" t="e">
        <f>VLOOKUP(B191,Sheet5!A191:J514,3,0)</f>
        <v>#N/A</v>
      </c>
      <c r="H191" s="27" t="e">
        <f>VLOOKUP(B191,Sheet5!A191:J514,4,0)</f>
        <v>#N/A</v>
      </c>
      <c r="I191" s="27" t="e">
        <f>VLOOKUP(B191,Sheet5!A191:J514,5,0)</f>
        <v>#N/A</v>
      </c>
      <c r="J191" s="27" t="e">
        <f>VLOOKUP(B191,Sheet5!A191:J514,6,0)</f>
        <v>#N/A</v>
      </c>
      <c r="K191" s="27" t="e">
        <f>VLOOKUP(B191,Sheet5!A191:J514,7,0)</f>
        <v>#N/A</v>
      </c>
      <c r="L191" s="27" t="e">
        <f>VLOOKUP(B191,Sheet5!A191:J514,8,0)</f>
        <v>#N/A</v>
      </c>
      <c r="M191" s="27" t="e">
        <f>VLOOKUP(B191,Sheet5!A191:J514,9,0)</f>
        <v>#N/A</v>
      </c>
      <c r="N191" s="27" t="e">
        <f>VLOOKUP(B191,Sheet5!A191:J514,10,0)</f>
        <v>#N/A</v>
      </c>
    </row>
    <row r="192" spans="1:14" x14ac:dyDescent="0.2">
      <c r="A192" s="3" t="s">
        <v>241</v>
      </c>
      <c r="B192" s="3" t="s">
        <v>242</v>
      </c>
      <c r="C192" s="4">
        <v>16356</v>
      </c>
      <c r="D192" s="4" t="s">
        <v>689</v>
      </c>
      <c r="E192" s="4" t="s">
        <v>1201</v>
      </c>
      <c r="F192" s="27" t="e">
        <f>VLOOKUP(B192,Sheet5!A192:J515,2,0)</f>
        <v>#N/A</v>
      </c>
      <c r="G192" s="27" t="e">
        <f>VLOOKUP(B192,Sheet5!A192:J515,3,0)</f>
        <v>#N/A</v>
      </c>
      <c r="H192" s="27" t="e">
        <f>VLOOKUP(B192,Sheet5!A192:J515,4,0)</f>
        <v>#N/A</v>
      </c>
      <c r="I192" s="27" t="e">
        <f>VLOOKUP(B192,Sheet5!A192:J515,5,0)</f>
        <v>#N/A</v>
      </c>
      <c r="J192" s="27" t="e">
        <f>VLOOKUP(B192,Sheet5!A192:J515,6,0)</f>
        <v>#N/A</v>
      </c>
      <c r="K192" s="27" t="e">
        <f>VLOOKUP(B192,Sheet5!A192:J515,7,0)</f>
        <v>#N/A</v>
      </c>
      <c r="L192" s="27" t="e">
        <f>VLOOKUP(B192,Sheet5!A192:J515,8,0)</f>
        <v>#N/A</v>
      </c>
      <c r="M192" s="27" t="e">
        <f>VLOOKUP(B192,Sheet5!A192:J515,9,0)</f>
        <v>#N/A</v>
      </c>
      <c r="N192" s="27" t="e">
        <f>VLOOKUP(B192,Sheet5!A192:J515,10,0)</f>
        <v>#N/A</v>
      </c>
    </row>
    <row r="193" spans="1:14" x14ac:dyDescent="0.2">
      <c r="A193" s="3" t="s">
        <v>243</v>
      </c>
      <c r="B193" s="3" t="s">
        <v>244</v>
      </c>
      <c r="C193" s="4">
        <v>12718</v>
      </c>
      <c r="D193" s="4" t="s">
        <v>689</v>
      </c>
      <c r="E193" s="4" t="s">
        <v>1201</v>
      </c>
      <c r="F193" s="27" t="str">
        <f>VLOOKUP(B193,Sheet5!A193:J516,2,0)</f>
        <v>笔记本电脑</v>
      </c>
      <c r="G193" s="27" t="str">
        <f>VLOOKUP(B193,Sheet5!A193:J516,3,0)</f>
        <v>ThinkPad</v>
      </c>
      <c r="H193" s="27" t="str">
        <f>VLOOKUP(B193,Sheet5!A193:J516,4,0)</f>
        <v>X230</v>
      </c>
      <c r="I193" s="27" t="str">
        <f>VLOOKUP(B193,Sheet5!A193:J516,5,0)</f>
        <v>95.00</v>
      </c>
      <c r="J193" s="27" t="str">
        <f>VLOOKUP(B193,Sheet5!A193:J516,6,0)</f>
        <v>2018/11/02</v>
      </c>
      <c r="K193" s="27" t="str">
        <f>VLOOKUP(B193,Sheet5!A193:J516,7,0)</f>
        <v>易点租</v>
      </c>
      <c r="L193" s="27" t="str">
        <f>VLOOKUP(B193,Sheet5!A193:J516,8,0)</f>
        <v>i5</v>
      </c>
      <c r="M193" s="27" t="str">
        <f>VLOOKUP(B193,Sheet5!A193:J516,9,0)</f>
        <v>8G</v>
      </c>
      <c r="N193" s="27" t="str">
        <f>VLOOKUP(B193,Sheet5!A193:J516,10,0)</f>
        <v>500G</v>
      </c>
    </row>
    <row r="194" spans="1:14" x14ac:dyDescent="0.2">
      <c r="A194" s="3" t="s">
        <v>245</v>
      </c>
      <c r="B194" s="3" t="s">
        <v>246</v>
      </c>
      <c r="C194" s="4">
        <v>20426</v>
      </c>
      <c r="D194" s="4" t="s">
        <v>689</v>
      </c>
      <c r="E194" s="4" t="s">
        <v>1201</v>
      </c>
      <c r="F194" s="27" t="str">
        <f>VLOOKUP(B194,Sheet5!A194:J517,2,0)</f>
        <v>笔记本电脑</v>
      </c>
      <c r="G194" s="27" t="str">
        <f>VLOOKUP(B194,Sheet5!A194:J517,3,0)</f>
        <v>ThinkPad</v>
      </c>
      <c r="H194" s="27" t="str">
        <f>VLOOKUP(B194,Sheet5!A194:J517,4,0)</f>
        <v>T440</v>
      </c>
      <c r="I194" s="27" t="str">
        <f>VLOOKUP(B194,Sheet5!A194:J517,5,0)</f>
        <v>115.00</v>
      </c>
      <c r="J194" s="27" t="str">
        <f>VLOOKUP(B194,Sheet5!A194:J517,6,0)</f>
        <v>2018/03/18</v>
      </c>
      <c r="K194" s="27" t="str">
        <f>VLOOKUP(B194,Sheet5!A194:J517,7,0)</f>
        <v>易点租</v>
      </c>
      <c r="L194" s="27" t="str">
        <f>VLOOKUP(B194,Sheet5!A194:J517,8,0)</f>
        <v/>
      </c>
      <c r="M194" s="27" t="str">
        <f>VLOOKUP(B194,Sheet5!A194:J517,9,0)</f>
        <v/>
      </c>
      <c r="N194" s="27" t="str">
        <f>VLOOKUP(B194,Sheet5!A194:J517,10,0)</f>
        <v/>
      </c>
    </row>
    <row r="195" spans="1:14" x14ac:dyDescent="0.2">
      <c r="A195" s="3" t="s">
        <v>247</v>
      </c>
      <c r="B195" s="3" t="s">
        <v>248</v>
      </c>
      <c r="C195" s="4">
        <v>430</v>
      </c>
      <c r="D195" s="4" t="s">
        <v>689</v>
      </c>
      <c r="E195" s="4" t="s">
        <v>1201</v>
      </c>
      <c r="F195" s="27" t="e">
        <f>VLOOKUP(B195,Sheet5!A195:J518,2,0)</f>
        <v>#N/A</v>
      </c>
      <c r="G195" s="27" t="e">
        <f>VLOOKUP(B195,Sheet5!A195:J518,3,0)</f>
        <v>#N/A</v>
      </c>
      <c r="H195" s="27" t="e">
        <f>VLOOKUP(B195,Sheet5!A195:J518,4,0)</f>
        <v>#N/A</v>
      </c>
      <c r="I195" s="27" t="e">
        <f>VLOOKUP(B195,Sheet5!A195:J518,5,0)</f>
        <v>#N/A</v>
      </c>
      <c r="J195" s="27" t="e">
        <f>VLOOKUP(B195,Sheet5!A195:J518,6,0)</f>
        <v>#N/A</v>
      </c>
      <c r="K195" s="27" t="e">
        <f>VLOOKUP(B195,Sheet5!A195:J518,7,0)</f>
        <v>#N/A</v>
      </c>
      <c r="L195" s="27" t="e">
        <f>VLOOKUP(B195,Sheet5!A195:J518,8,0)</f>
        <v>#N/A</v>
      </c>
      <c r="M195" s="27" t="e">
        <f>VLOOKUP(B195,Sheet5!A195:J518,9,0)</f>
        <v>#N/A</v>
      </c>
      <c r="N195" s="27" t="e">
        <f>VLOOKUP(B195,Sheet5!A195:J518,10,0)</f>
        <v>#N/A</v>
      </c>
    </row>
    <row r="196" spans="1:14" x14ac:dyDescent="0.2">
      <c r="A196" s="3" t="s">
        <v>249</v>
      </c>
      <c r="B196" s="3" t="s">
        <v>250</v>
      </c>
      <c r="C196" s="4">
        <v>3898</v>
      </c>
      <c r="D196" s="4" t="s">
        <v>689</v>
      </c>
      <c r="E196" s="4" t="s">
        <v>1201</v>
      </c>
      <c r="F196" s="27" t="e">
        <f>VLOOKUP(B196,Sheet5!A196:J519,2,0)</f>
        <v>#N/A</v>
      </c>
      <c r="G196" s="27" t="e">
        <f>VLOOKUP(B196,Sheet5!A196:J519,3,0)</f>
        <v>#N/A</v>
      </c>
      <c r="H196" s="27" t="e">
        <f>VLOOKUP(B196,Sheet5!A196:J519,4,0)</f>
        <v>#N/A</v>
      </c>
      <c r="I196" s="27" t="e">
        <f>VLOOKUP(B196,Sheet5!A196:J519,5,0)</f>
        <v>#N/A</v>
      </c>
      <c r="J196" s="27" t="e">
        <f>VLOOKUP(B196,Sheet5!A196:J519,6,0)</f>
        <v>#N/A</v>
      </c>
      <c r="K196" s="27" t="e">
        <f>VLOOKUP(B196,Sheet5!A196:J519,7,0)</f>
        <v>#N/A</v>
      </c>
      <c r="L196" s="27" t="e">
        <f>VLOOKUP(B196,Sheet5!A196:J519,8,0)</f>
        <v>#N/A</v>
      </c>
      <c r="M196" s="27" t="e">
        <f>VLOOKUP(B196,Sheet5!A196:J519,9,0)</f>
        <v>#N/A</v>
      </c>
      <c r="N196" s="27" t="e">
        <f>VLOOKUP(B196,Sheet5!A196:J519,10,0)</f>
        <v>#N/A</v>
      </c>
    </row>
    <row r="197" spans="1:14" x14ac:dyDescent="0.2">
      <c r="A197" s="3" t="s">
        <v>251</v>
      </c>
      <c r="B197" s="3" t="s">
        <v>252</v>
      </c>
      <c r="C197" s="4">
        <v>10133</v>
      </c>
      <c r="D197" s="4" t="s">
        <v>689</v>
      </c>
      <c r="E197" s="4" t="s">
        <v>1201</v>
      </c>
      <c r="F197" s="27" t="e">
        <f>VLOOKUP(B197,Sheet5!A197:J520,2,0)</f>
        <v>#N/A</v>
      </c>
      <c r="G197" s="27" t="e">
        <f>VLOOKUP(B197,Sheet5!A197:J520,3,0)</f>
        <v>#N/A</v>
      </c>
      <c r="H197" s="27" t="e">
        <f>VLOOKUP(B197,Sheet5!A197:J520,4,0)</f>
        <v>#N/A</v>
      </c>
      <c r="I197" s="27" t="e">
        <f>VLOOKUP(B197,Sheet5!A197:J520,5,0)</f>
        <v>#N/A</v>
      </c>
      <c r="J197" s="27" t="e">
        <f>VLOOKUP(B197,Sheet5!A197:J520,6,0)</f>
        <v>#N/A</v>
      </c>
      <c r="K197" s="27" t="e">
        <f>VLOOKUP(B197,Sheet5!A197:J520,7,0)</f>
        <v>#N/A</v>
      </c>
      <c r="L197" s="27" t="e">
        <f>VLOOKUP(B197,Sheet5!A197:J520,8,0)</f>
        <v>#N/A</v>
      </c>
      <c r="M197" s="27" t="e">
        <f>VLOOKUP(B197,Sheet5!A197:J520,9,0)</f>
        <v>#N/A</v>
      </c>
      <c r="N197" s="27" t="e">
        <f>VLOOKUP(B197,Sheet5!A197:J520,10,0)</f>
        <v>#N/A</v>
      </c>
    </row>
    <row r="198" spans="1:14" x14ac:dyDescent="0.2">
      <c r="A198" s="3" t="s">
        <v>253</v>
      </c>
      <c r="B198" s="3" t="s">
        <v>254</v>
      </c>
      <c r="C198" s="4">
        <v>2166</v>
      </c>
      <c r="D198" s="4" t="s">
        <v>689</v>
      </c>
      <c r="E198" s="4" t="s">
        <v>1201</v>
      </c>
      <c r="F198" s="27" t="e">
        <f>VLOOKUP(B198,Sheet5!A198:J521,2,0)</f>
        <v>#N/A</v>
      </c>
      <c r="G198" s="27" t="e">
        <f>VLOOKUP(B198,Sheet5!A198:J521,3,0)</f>
        <v>#N/A</v>
      </c>
      <c r="H198" s="27" t="e">
        <f>VLOOKUP(B198,Sheet5!A198:J521,4,0)</f>
        <v>#N/A</v>
      </c>
      <c r="I198" s="27" t="e">
        <f>VLOOKUP(B198,Sheet5!A198:J521,5,0)</f>
        <v>#N/A</v>
      </c>
      <c r="J198" s="27" t="e">
        <f>VLOOKUP(B198,Sheet5!A198:J521,6,0)</f>
        <v>#N/A</v>
      </c>
      <c r="K198" s="27" t="e">
        <f>VLOOKUP(B198,Sheet5!A198:J521,7,0)</f>
        <v>#N/A</v>
      </c>
      <c r="L198" s="27" t="e">
        <f>VLOOKUP(B198,Sheet5!A198:J521,8,0)</f>
        <v>#N/A</v>
      </c>
      <c r="M198" s="27" t="e">
        <f>VLOOKUP(B198,Sheet5!A198:J521,9,0)</f>
        <v>#N/A</v>
      </c>
      <c r="N198" s="27" t="e">
        <f>VLOOKUP(B198,Sheet5!A198:J521,10,0)</f>
        <v>#N/A</v>
      </c>
    </row>
    <row r="199" spans="1:14" x14ac:dyDescent="0.2">
      <c r="A199" s="3" t="s">
        <v>255</v>
      </c>
      <c r="B199" s="3" t="s">
        <v>256</v>
      </c>
      <c r="C199" s="4">
        <v>10174</v>
      </c>
      <c r="D199" s="4" t="s">
        <v>689</v>
      </c>
      <c r="E199" s="4" t="s">
        <v>1201</v>
      </c>
      <c r="F199" s="27" t="e">
        <f>VLOOKUP(B199,Sheet5!A199:J522,2,0)</f>
        <v>#N/A</v>
      </c>
      <c r="G199" s="27" t="e">
        <f>VLOOKUP(B199,Sheet5!A199:J522,3,0)</f>
        <v>#N/A</v>
      </c>
      <c r="H199" s="27" t="e">
        <f>VLOOKUP(B199,Sheet5!A199:J522,4,0)</f>
        <v>#N/A</v>
      </c>
      <c r="I199" s="27" t="e">
        <f>VLOOKUP(B199,Sheet5!A199:J522,5,0)</f>
        <v>#N/A</v>
      </c>
      <c r="J199" s="27" t="e">
        <f>VLOOKUP(B199,Sheet5!A199:J522,6,0)</f>
        <v>#N/A</v>
      </c>
      <c r="K199" s="27" t="e">
        <f>VLOOKUP(B199,Sheet5!A199:J522,7,0)</f>
        <v>#N/A</v>
      </c>
      <c r="L199" s="27" t="e">
        <f>VLOOKUP(B199,Sheet5!A199:J522,8,0)</f>
        <v>#N/A</v>
      </c>
      <c r="M199" s="27" t="e">
        <f>VLOOKUP(B199,Sheet5!A199:J522,9,0)</f>
        <v>#N/A</v>
      </c>
      <c r="N199" s="27" t="e">
        <f>VLOOKUP(B199,Sheet5!A199:J522,10,0)</f>
        <v>#N/A</v>
      </c>
    </row>
    <row r="200" spans="1:14" x14ac:dyDescent="0.2">
      <c r="A200" s="3" t="s">
        <v>257</v>
      </c>
      <c r="B200" s="3" t="s">
        <v>258</v>
      </c>
      <c r="C200" s="4">
        <v>5219</v>
      </c>
      <c r="D200" s="4" t="s">
        <v>689</v>
      </c>
      <c r="E200" s="4" t="s">
        <v>1201</v>
      </c>
      <c r="F200" s="27" t="e">
        <f>VLOOKUP(B200,Sheet5!A200:J523,2,0)</f>
        <v>#N/A</v>
      </c>
      <c r="G200" s="27" t="e">
        <f>VLOOKUP(B200,Sheet5!A200:J523,3,0)</f>
        <v>#N/A</v>
      </c>
      <c r="H200" s="27" t="e">
        <f>VLOOKUP(B200,Sheet5!A200:J523,4,0)</f>
        <v>#N/A</v>
      </c>
      <c r="I200" s="27" t="e">
        <f>VLOOKUP(B200,Sheet5!A200:J523,5,0)</f>
        <v>#N/A</v>
      </c>
      <c r="J200" s="27" t="e">
        <f>VLOOKUP(B200,Sheet5!A200:J523,6,0)</f>
        <v>#N/A</v>
      </c>
      <c r="K200" s="27" t="e">
        <f>VLOOKUP(B200,Sheet5!A200:J523,7,0)</f>
        <v>#N/A</v>
      </c>
      <c r="L200" s="27" t="e">
        <f>VLOOKUP(B200,Sheet5!A200:J523,8,0)</f>
        <v>#N/A</v>
      </c>
      <c r="M200" s="27" t="e">
        <f>VLOOKUP(B200,Sheet5!A200:J523,9,0)</f>
        <v>#N/A</v>
      </c>
      <c r="N200" s="27" t="e">
        <f>VLOOKUP(B200,Sheet5!A200:J523,10,0)</f>
        <v>#N/A</v>
      </c>
    </row>
    <row r="201" spans="1:14" x14ac:dyDescent="0.2">
      <c r="A201" s="3" t="s">
        <v>259</v>
      </c>
      <c r="B201" s="3" t="s">
        <v>258</v>
      </c>
      <c r="C201" s="4">
        <v>1296</v>
      </c>
      <c r="D201" s="4" t="s">
        <v>689</v>
      </c>
      <c r="E201" s="4" t="s">
        <v>1201</v>
      </c>
      <c r="F201" s="27" t="e">
        <f>VLOOKUP(B201,Sheet5!A201:J524,2,0)</f>
        <v>#N/A</v>
      </c>
      <c r="G201" s="27" t="e">
        <f>VLOOKUP(B201,Sheet5!A201:J524,3,0)</f>
        <v>#N/A</v>
      </c>
      <c r="H201" s="27" t="e">
        <f>VLOOKUP(B201,Sheet5!A201:J524,4,0)</f>
        <v>#N/A</v>
      </c>
      <c r="I201" s="27" t="e">
        <f>VLOOKUP(B201,Sheet5!A201:J524,5,0)</f>
        <v>#N/A</v>
      </c>
      <c r="J201" s="27" t="e">
        <f>VLOOKUP(B201,Sheet5!A201:J524,6,0)</f>
        <v>#N/A</v>
      </c>
      <c r="K201" s="27" t="e">
        <f>VLOOKUP(B201,Sheet5!A201:J524,7,0)</f>
        <v>#N/A</v>
      </c>
      <c r="L201" s="27" t="e">
        <f>VLOOKUP(B201,Sheet5!A201:J524,8,0)</f>
        <v>#N/A</v>
      </c>
      <c r="M201" s="27" t="e">
        <f>VLOOKUP(B201,Sheet5!A201:J524,9,0)</f>
        <v>#N/A</v>
      </c>
      <c r="N201" s="27" t="e">
        <f>VLOOKUP(B201,Sheet5!A201:J524,10,0)</f>
        <v>#N/A</v>
      </c>
    </row>
    <row r="202" spans="1:14" x14ac:dyDescent="0.2">
      <c r="A202" s="3" t="s">
        <v>260</v>
      </c>
      <c r="B202" s="3" t="s">
        <v>261</v>
      </c>
      <c r="C202" s="4">
        <v>955</v>
      </c>
      <c r="D202" s="4" t="s">
        <v>689</v>
      </c>
      <c r="E202" s="4" t="s">
        <v>1201</v>
      </c>
      <c r="F202" s="27" t="str">
        <f>VLOOKUP(B202,Sheet5!A202:J525,2,0)</f>
        <v>笔记本电脑</v>
      </c>
      <c r="G202" s="27" t="str">
        <f>VLOOKUP(B202,Sheet5!A202:J525,3,0)</f>
        <v>ThinkPad</v>
      </c>
      <c r="H202" s="27" t="str">
        <f>VLOOKUP(B202,Sheet5!A202:J525,4,0)</f>
        <v>X230</v>
      </c>
      <c r="I202" s="27" t="str">
        <f>VLOOKUP(B202,Sheet5!A202:J525,5,0)</f>
        <v>95.00</v>
      </c>
      <c r="J202" s="27" t="str">
        <f>VLOOKUP(B202,Sheet5!A202:J525,6,0)</f>
        <v>2018/11/02</v>
      </c>
      <c r="K202" s="27" t="str">
        <f>VLOOKUP(B202,Sheet5!A202:J525,7,0)</f>
        <v>易点租</v>
      </c>
      <c r="L202" s="27" t="str">
        <f>VLOOKUP(B202,Sheet5!A202:J525,8,0)</f>
        <v>i5</v>
      </c>
      <c r="M202" s="27" t="str">
        <f>VLOOKUP(B202,Sheet5!A202:J525,9,0)</f>
        <v>8G</v>
      </c>
      <c r="N202" s="27" t="str">
        <f>VLOOKUP(B202,Sheet5!A202:J525,10,0)</f>
        <v>500G</v>
      </c>
    </row>
    <row r="203" spans="1:14" x14ac:dyDescent="0.2">
      <c r="A203" s="3" t="s">
        <v>262</v>
      </c>
      <c r="B203" s="3" t="s">
        <v>263</v>
      </c>
      <c r="C203" s="4">
        <v>3517</v>
      </c>
      <c r="D203" s="4" t="s">
        <v>689</v>
      </c>
      <c r="E203" s="4" t="s">
        <v>1201</v>
      </c>
      <c r="F203" s="27" t="str">
        <f>VLOOKUP(B203,Sheet5!A203:J526,2,0)</f>
        <v>笔记本电脑</v>
      </c>
      <c r="G203" s="27" t="str">
        <f>VLOOKUP(B203,Sheet5!A203:J526,3,0)</f>
        <v>ThinkPad</v>
      </c>
      <c r="H203" s="27" t="str">
        <f>VLOOKUP(B203,Sheet5!A203:J526,4,0)</f>
        <v>X230</v>
      </c>
      <c r="I203" s="27" t="str">
        <f>VLOOKUP(B203,Sheet5!A203:J526,5,0)</f>
        <v>95.00</v>
      </c>
      <c r="J203" s="27" t="str">
        <f>VLOOKUP(B203,Sheet5!A203:J526,6,0)</f>
        <v>2018/11/13</v>
      </c>
      <c r="K203" s="27" t="str">
        <f>VLOOKUP(B203,Sheet5!A203:J526,7,0)</f>
        <v>易点租</v>
      </c>
      <c r="L203" s="27" t="str">
        <f>VLOOKUP(B203,Sheet5!A203:J526,8,0)</f>
        <v>i5</v>
      </c>
      <c r="M203" s="27" t="str">
        <f>VLOOKUP(B203,Sheet5!A203:J526,9,0)</f>
        <v>8G</v>
      </c>
      <c r="N203" s="27" t="str">
        <f>VLOOKUP(B203,Sheet5!A203:J526,10,0)</f>
        <v>500G</v>
      </c>
    </row>
    <row r="204" spans="1:14" x14ac:dyDescent="0.2">
      <c r="A204" s="3" t="s">
        <v>264</v>
      </c>
      <c r="B204" s="3" t="s">
        <v>265</v>
      </c>
      <c r="C204" s="4">
        <v>4416</v>
      </c>
      <c r="D204" s="4" t="s">
        <v>689</v>
      </c>
      <c r="E204" s="4" t="s">
        <v>1201</v>
      </c>
      <c r="F204" s="27" t="str">
        <f>VLOOKUP(B204,Sheet5!A204:J527,2,0)</f>
        <v>笔记本电脑</v>
      </c>
      <c r="G204" s="27" t="str">
        <f>VLOOKUP(B204,Sheet5!A204:J527,3,0)</f>
        <v>ThinkPad</v>
      </c>
      <c r="H204" s="27" t="str">
        <f>VLOOKUP(B204,Sheet5!A204:J527,4,0)</f>
        <v>X230</v>
      </c>
      <c r="I204" s="27" t="str">
        <f>VLOOKUP(B204,Sheet5!A204:J527,5,0)</f>
        <v>95.00</v>
      </c>
      <c r="J204" s="27" t="str">
        <f>VLOOKUP(B204,Sheet5!A204:J527,6,0)</f>
        <v>2018/11/13</v>
      </c>
      <c r="K204" s="27" t="str">
        <f>VLOOKUP(B204,Sheet5!A204:J527,7,0)</f>
        <v>易点租</v>
      </c>
      <c r="L204" s="27" t="str">
        <f>VLOOKUP(B204,Sheet5!A204:J527,8,0)</f>
        <v>i5</v>
      </c>
      <c r="M204" s="27" t="str">
        <f>VLOOKUP(B204,Sheet5!A204:J527,9,0)</f>
        <v>8G</v>
      </c>
      <c r="N204" s="27" t="str">
        <f>VLOOKUP(B204,Sheet5!A204:J527,10,0)</f>
        <v>500G</v>
      </c>
    </row>
    <row r="205" spans="1:14" x14ac:dyDescent="0.2">
      <c r="A205" s="3" t="s">
        <v>266</v>
      </c>
      <c r="B205" s="3" t="s">
        <v>267</v>
      </c>
      <c r="C205" s="4">
        <v>2953</v>
      </c>
      <c r="D205" s="4" t="s">
        <v>689</v>
      </c>
      <c r="E205" s="4" t="s">
        <v>1201</v>
      </c>
      <c r="F205" s="27" t="str">
        <f>VLOOKUP(B205,Sheet5!A205:J528,2,0)</f>
        <v>笔记本电脑</v>
      </c>
      <c r="G205" s="27" t="str">
        <f>VLOOKUP(B205,Sheet5!A205:J528,3,0)</f>
        <v>ThinkPad</v>
      </c>
      <c r="H205" s="27" t="str">
        <f>VLOOKUP(B205,Sheet5!A205:J528,4,0)</f>
        <v>X230</v>
      </c>
      <c r="I205" s="27" t="str">
        <f>VLOOKUP(B205,Sheet5!A205:J528,5,0)</f>
        <v>95.00</v>
      </c>
      <c r="J205" s="27" t="str">
        <f>VLOOKUP(B205,Sheet5!A205:J528,6,0)</f>
        <v>2018/11/13</v>
      </c>
      <c r="K205" s="27" t="str">
        <f>VLOOKUP(B205,Sheet5!A205:J528,7,0)</f>
        <v>易点租</v>
      </c>
      <c r="L205" s="27" t="str">
        <f>VLOOKUP(B205,Sheet5!A205:J528,8,0)</f>
        <v>i5</v>
      </c>
      <c r="M205" s="27" t="str">
        <f>VLOOKUP(B205,Sheet5!A205:J528,9,0)</f>
        <v>8G</v>
      </c>
      <c r="N205" s="27" t="str">
        <f>VLOOKUP(B205,Sheet5!A205:J528,10,0)</f>
        <v>500G</v>
      </c>
    </row>
    <row r="206" spans="1:14" x14ac:dyDescent="0.2">
      <c r="A206" s="3" t="s">
        <v>268</v>
      </c>
      <c r="B206" s="3" t="s">
        <v>269</v>
      </c>
      <c r="C206" s="4">
        <v>9282</v>
      </c>
      <c r="D206" s="4" t="s">
        <v>689</v>
      </c>
      <c r="E206" s="4" t="s">
        <v>1201</v>
      </c>
      <c r="F206" s="27" t="str">
        <f>VLOOKUP(B206,Sheet5!A206:J529,2,0)</f>
        <v>笔记本电脑</v>
      </c>
      <c r="G206" s="27" t="str">
        <f>VLOOKUP(B206,Sheet5!A206:J529,3,0)</f>
        <v>ThinkPad</v>
      </c>
      <c r="H206" s="27" t="str">
        <f>VLOOKUP(B206,Sheet5!A206:J529,4,0)</f>
        <v>X230</v>
      </c>
      <c r="I206" s="27" t="str">
        <f>VLOOKUP(B206,Sheet5!A206:J529,5,0)</f>
        <v>95.00</v>
      </c>
      <c r="J206" s="27" t="str">
        <f>VLOOKUP(B206,Sheet5!A206:J529,6,0)</f>
        <v>2018/11/13</v>
      </c>
      <c r="K206" s="27" t="str">
        <f>VLOOKUP(B206,Sheet5!A206:J529,7,0)</f>
        <v>易点租</v>
      </c>
      <c r="L206" s="27" t="str">
        <f>VLOOKUP(B206,Sheet5!A206:J529,8,0)</f>
        <v>i5</v>
      </c>
      <c r="M206" s="27" t="str">
        <f>VLOOKUP(B206,Sheet5!A206:J529,9,0)</f>
        <v>8G</v>
      </c>
      <c r="N206" s="27" t="str">
        <f>VLOOKUP(B206,Sheet5!A206:J529,10,0)</f>
        <v>500G</v>
      </c>
    </row>
    <row r="207" spans="1:14" x14ac:dyDescent="0.2">
      <c r="A207" s="3" t="s">
        <v>270</v>
      </c>
      <c r="B207" s="3" t="s">
        <v>271</v>
      </c>
      <c r="C207" s="4">
        <v>1159</v>
      </c>
      <c r="D207" s="4" t="s">
        <v>689</v>
      </c>
      <c r="E207" s="4" t="s">
        <v>1201</v>
      </c>
      <c r="F207" s="27" t="e">
        <f>VLOOKUP(B207,Sheet5!A207:J530,2,0)</f>
        <v>#N/A</v>
      </c>
      <c r="G207" s="27" t="e">
        <f>VLOOKUP(B207,Sheet5!A207:J530,3,0)</f>
        <v>#N/A</v>
      </c>
      <c r="H207" s="27" t="e">
        <f>VLOOKUP(B207,Sheet5!A207:J530,4,0)</f>
        <v>#N/A</v>
      </c>
      <c r="I207" s="27" t="e">
        <f>VLOOKUP(B207,Sheet5!A207:J530,5,0)</f>
        <v>#N/A</v>
      </c>
      <c r="J207" s="27" t="e">
        <f>VLOOKUP(B207,Sheet5!A207:J530,6,0)</f>
        <v>#N/A</v>
      </c>
      <c r="K207" s="27" t="e">
        <f>VLOOKUP(B207,Sheet5!A207:J530,7,0)</f>
        <v>#N/A</v>
      </c>
      <c r="L207" s="27" t="e">
        <f>VLOOKUP(B207,Sheet5!A207:J530,8,0)</f>
        <v>#N/A</v>
      </c>
      <c r="M207" s="27" t="e">
        <f>VLOOKUP(B207,Sheet5!A207:J530,9,0)</f>
        <v>#N/A</v>
      </c>
      <c r="N207" s="27" t="e">
        <f>VLOOKUP(B207,Sheet5!A207:J530,10,0)</f>
        <v>#N/A</v>
      </c>
    </row>
    <row r="208" spans="1:14" x14ac:dyDescent="0.2">
      <c r="A208" s="3" t="s">
        <v>272</v>
      </c>
      <c r="B208" s="3" t="s">
        <v>273</v>
      </c>
      <c r="C208" s="4">
        <v>1160</v>
      </c>
      <c r="D208" s="4" t="s">
        <v>689</v>
      </c>
      <c r="E208" s="4" t="s">
        <v>1201</v>
      </c>
      <c r="F208" s="27" t="e">
        <f>VLOOKUP(B208,Sheet5!A208:J531,2,0)</f>
        <v>#N/A</v>
      </c>
      <c r="G208" s="27" t="e">
        <f>VLOOKUP(B208,Sheet5!A208:J531,3,0)</f>
        <v>#N/A</v>
      </c>
      <c r="H208" s="27" t="e">
        <f>VLOOKUP(B208,Sheet5!A208:J531,4,0)</f>
        <v>#N/A</v>
      </c>
      <c r="I208" s="27" t="e">
        <f>VLOOKUP(B208,Sheet5!A208:J531,5,0)</f>
        <v>#N/A</v>
      </c>
      <c r="J208" s="27" t="e">
        <f>VLOOKUP(B208,Sheet5!A208:J531,6,0)</f>
        <v>#N/A</v>
      </c>
      <c r="K208" s="27" t="e">
        <f>VLOOKUP(B208,Sheet5!A208:J531,7,0)</f>
        <v>#N/A</v>
      </c>
      <c r="L208" s="27" t="e">
        <f>VLOOKUP(B208,Sheet5!A208:J531,8,0)</f>
        <v>#N/A</v>
      </c>
      <c r="M208" s="27" t="e">
        <f>VLOOKUP(B208,Sheet5!A208:J531,9,0)</f>
        <v>#N/A</v>
      </c>
      <c r="N208" s="27" t="e">
        <f>VLOOKUP(B208,Sheet5!A208:J531,10,0)</f>
        <v>#N/A</v>
      </c>
    </row>
    <row r="209" spans="1:14" x14ac:dyDescent="0.2">
      <c r="A209" s="3" t="s">
        <v>274</v>
      </c>
      <c r="B209" s="3" t="s">
        <v>275</v>
      </c>
      <c r="C209" s="4">
        <v>1505</v>
      </c>
      <c r="D209" s="4" t="s">
        <v>689</v>
      </c>
      <c r="E209" s="4" t="s">
        <v>1201</v>
      </c>
      <c r="F209" s="27" t="e">
        <f>VLOOKUP(B209,Sheet5!A209:J532,2,0)</f>
        <v>#N/A</v>
      </c>
      <c r="G209" s="27" t="e">
        <f>VLOOKUP(B209,Sheet5!A209:J532,3,0)</f>
        <v>#N/A</v>
      </c>
      <c r="H209" s="27" t="e">
        <f>VLOOKUP(B209,Sheet5!A209:J532,4,0)</f>
        <v>#N/A</v>
      </c>
      <c r="I209" s="27" t="e">
        <f>VLOOKUP(B209,Sheet5!A209:J532,5,0)</f>
        <v>#N/A</v>
      </c>
      <c r="J209" s="27" t="e">
        <f>VLOOKUP(B209,Sheet5!A209:J532,6,0)</f>
        <v>#N/A</v>
      </c>
      <c r="K209" s="27" t="e">
        <f>VLOOKUP(B209,Sheet5!A209:J532,7,0)</f>
        <v>#N/A</v>
      </c>
      <c r="L209" s="27" t="e">
        <f>VLOOKUP(B209,Sheet5!A209:J532,8,0)</f>
        <v>#N/A</v>
      </c>
      <c r="M209" s="27" t="e">
        <f>VLOOKUP(B209,Sheet5!A209:J532,9,0)</f>
        <v>#N/A</v>
      </c>
      <c r="N209" s="27" t="e">
        <f>VLOOKUP(B209,Sheet5!A209:J532,10,0)</f>
        <v>#N/A</v>
      </c>
    </row>
    <row r="210" spans="1:14" x14ac:dyDescent="0.2">
      <c r="A210" s="3" t="s">
        <v>276</v>
      </c>
      <c r="B210" s="3" t="s">
        <v>277</v>
      </c>
      <c r="C210" s="4">
        <v>20160</v>
      </c>
      <c r="D210" s="4" t="s">
        <v>689</v>
      </c>
      <c r="E210" s="4" t="s">
        <v>1201</v>
      </c>
      <c r="F210" s="27" t="str">
        <f>VLOOKUP(B210,Sheet5!A210:J533,2,0)</f>
        <v>笔记本电脑</v>
      </c>
      <c r="G210" s="27" t="str">
        <f>VLOOKUP(B210,Sheet5!A210:J533,3,0)</f>
        <v>ThinkPad</v>
      </c>
      <c r="H210" s="27" t="str">
        <f>VLOOKUP(B210,Sheet5!A210:J533,4,0)</f>
        <v>X240</v>
      </c>
      <c r="I210" s="27" t="str">
        <f>VLOOKUP(B210,Sheet5!A210:J533,5,0)</f>
        <v>115.00</v>
      </c>
      <c r="J210" s="27" t="str">
        <f>VLOOKUP(B210,Sheet5!A210:J533,6,0)</f>
        <v>2018/03/18</v>
      </c>
      <c r="K210" s="27" t="str">
        <f>VLOOKUP(B210,Sheet5!A210:J533,7,0)</f>
        <v>易点租</v>
      </c>
      <c r="L210" s="27" t="str">
        <f>VLOOKUP(B210,Sheet5!A210:J533,8,0)</f>
        <v>i5</v>
      </c>
      <c r="M210" s="27" t="str">
        <f>VLOOKUP(B210,Sheet5!A210:J533,9,0)</f>
        <v>8G</v>
      </c>
      <c r="N210" s="27" t="str">
        <f>VLOOKUP(B210,Sheet5!A210:J533,10,0)</f>
        <v>500G</v>
      </c>
    </row>
    <row r="211" spans="1:14" x14ac:dyDescent="0.2">
      <c r="A211" s="3" t="s">
        <v>278</v>
      </c>
      <c r="B211" s="3" t="s">
        <v>279</v>
      </c>
      <c r="C211" s="4">
        <v>1975</v>
      </c>
      <c r="D211" s="4" t="s">
        <v>689</v>
      </c>
      <c r="E211" s="4" t="s">
        <v>1201</v>
      </c>
      <c r="F211" s="27" t="e">
        <f>VLOOKUP(B211,Sheet5!A211:J534,2,0)</f>
        <v>#N/A</v>
      </c>
      <c r="G211" s="27" t="e">
        <f>VLOOKUP(B211,Sheet5!A211:J534,3,0)</f>
        <v>#N/A</v>
      </c>
      <c r="H211" s="27" t="e">
        <f>VLOOKUP(B211,Sheet5!A211:J534,4,0)</f>
        <v>#N/A</v>
      </c>
      <c r="I211" s="27" t="e">
        <f>VLOOKUP(B211,Sheet5!A211:J534,5,0)</f>
        <v>#N/A</v>
      </c>
      <c r="J211" s="27" t="e">
        <f>VLOOKUP(B211,Sheet5!A211:J534,6,0)</f>
        <v>#N/A</v>
      </c>
      <c r="K211" s="27" t="e">
        <f>VLOOKUP(B211,Sheet5!A211:J534,7,0)</f>
        <v>#N/A</v>
      </c>
      <c r="L211" s="27" t="e">
        <f>VLOOKUP(B211,Sheet5!A211:J534,8,0)</f>
        <v>#N/A</v>
      </c>
      <c r="M211" s="27" t="e">
        <f>VLOOKUP(B211,Sheet5!A211:J534,9,0)</f>
        <v>#N/A</v>
      </c>
      <c r="N211" s="27" t="e">
        <f>VLOOKUP(B211,Sheet5!A211:J534,10,0)</f>
        <v>#N/A</v>
      </c>
    </row>
    <row r="212" spans="1:14" x14ac:dyDescent="0.2">
      <c r="A212" s="3" t="s">
        <v>280</v>
      </c>
      <c r="B212" s="3" t="s">
        <v>281</v>
      </c>
      <c r="C212" s="4">
        <v>5510</v>
      </c>
      <c r="D212" s="4" t="s">
        <v>689</v>
      </c>
      <c r="E212" s="4" t="s">
        <v>1201</v>
      </c>
      <c r="F212" s="27" t="str">
        <f>VLOOKUP(B212,Sheet5!A212:J535,2,0)</f>
        <v>笔记本电脑</v>
      </c>
      <c r="G212" s="27" t="str">
        <f>VLOOKUP(B212,Sheet5!A212:J535,3,0)</f>
        <v>ThinkPad</v>
      </c>
      <c r="H212" s="27" t="str">
        <f>VLOOKUP(B212,Sheet5!A212:J535,4,0)</f>
        <v>X240</v>
      </c>
      <c r="I212" s="27" t="str">
        <f>VLOOKUP(B212,Sheet5!A212:J535,5,0)</f>
        <v>115.00</v>
      </c>
      <c r="J212" s="27" t="str">
        <f>VLOOKUP(B212,Sheet5!A212:J535,6,0)</f>
        <v>2018/03/28</v>
      </c>
      <c r="K212" s="27" t="str">
        <f>VLOOKUP(B212,Sheet5!A212:J535,7,0)</f>
        <v>易点租</v>
      </c>
      <c r="L212" s="27" t="str">
        <f>VLOOKUP(B212,Sheet5!A212:J535,8,0)</f>
        <v>i5</v>
      </c>
      <c r="M212" s="27" t="str">
        <f>VLOOKUP(B212,Sheet5!A212:J535,9,0)</f>
        <v>8G</v>
      </c>
      <c r="N212" s="27" t="str">
        <f>VLOOKUP(B212,Sheet5!A212:J535,10,0)</f>
        <v>500G</v>
      </c>
    </row>
    <row r="213" spans="1:14" x14ac:dyDescent="0.2">
      <c r="A213" s="3" t="s">
        <v>282</v>
      </c>
      <c r="B213" s="3" t="s">
        <v>283</v>
      </c>
      <c r="C213" s="4">
        <v>1875</v>
      </c>
      <c r="D213" s="4" t="s">
        <v>689</v>
      </c>
      <c r="E213" s="4" t="s">
        <v>1201</v>
      </c>
      <c r="F213" s="27" t="e">
        <f>VLOOKUP(B213,Sheet5!A213:J536,2,0)</f>
        <v>#N/A</v>
      </c>
      <c r="G213" s="27" t="e">
        <f>VLOOKUP(B213,Sheet5!A213:J536,3,0)</f>
        <v>#N/A</v>
      </c>
      <c r="H213" s="27" t="e">
        <f>VLOOKUP(B213,Sheet5!A213:J536,4,0)</f>
        <v>#N/A</v>
      </c>
      <c r="I213" s="27" t="e">
        <f>VLOOKUP(B213,Sheet5!A213:J536,5,0)</f>
        <v>#N/A</v>
      </c>
      <c r="J213" s="27" t="e">
        <f>VLOOKUP(B213,Sheet5!A213:J536,6,0)</f>
        <v>#N/A</v>
      </c>
      <c r="K213" s="27" t="e">
        <f>VLOOKUP(B213,Sheet5!A213:J536,7,0)</f>
        <v>#N/A</v>
      </c>
      <c r="L213" s="27" t="e">
        <f>VLOOKUP(B213,Sheet5!A213:J536,8,0)</f>
        <v>#N/A</v>
      </c>
      <c r="M213" s="27" t="e">
        <f>VLOOKUP(B213,Sheet5!A213:J536,9,0)</f>
        <v>#N/A</v>
      </c>
      <c r="N213" s="27" t="e">
        <f>VLOOKUP(B213,Sheet5!A213:J536,10,0)</f>
        <v>#N/A</v>
      </c>
    </row>
    <row r="214" spans="1:14" x14ac:dyDescent="0.2">
      <c r="A214" s="3" t="s">
        <v>284</v>
      </c>
      <c r="B214" s="3" t="s">
        <v>285</v>
      </c>
      <c r="C214" s="4">
        <v>7635</v>
      </c>
      <c r="D214" s="4" t="s">
        <v>689</v>
      </c>
      <c r="E214" s="4" t="s">
        <v>1201</v>
      </c>
      <c r="F214" s="27" t="e">
        <f>VLOOKUP(B214,Sheet5!A214:J537,2,0)</f>
        <v>#N/A</v>
      </c>
      <c r="G214" s="27" t="e">
        <f>VLOOKUP(B214,Sheet5!A214:J537,3,0)</f>
        <v>#N/A</v>
      </c>
      <c r="H214" s="27" t="e">
        <f>VLOOKUP(B214,Sheet5!A214:J537,4,0)</f>
        <v>#N/A</v>
      </c>
      <c r="I214" s="27" t="e">
        <f>VLOOKUP(B214,Sheet5!A214:J537,5,0)</f>
        <v>#N/A</v>
      </c>
      <c r="J214" s="27" t="e">
        <f>VLOOKUP(B214,Sheet5!A214:J537,6,0)</f>
        <v>#N/A</v>
      </c>
      <c r="K214" s="27" t="e">
        <f>VLOOKUP(B214,Sheet5!A214:J537,7,0)</f>
        <v>#N/A</v>
      </c>
      <c r="L214" s="27" t="e">
        <f>VLOOKUP(B214,Sheet5!A214:J537,8,0)</f>
        <v>#N/A</v>
      </c>
      <c r="M214" s="27" t="e">
        <f>VLOOKUP(B214,Sheet5!A214:J537,9,0)</f>
        <v>#N/A</v>
      </c>
      <c r="N214" s="27" t="e">
        <f>VLOOKUP(B214,Sheet5!A214:J537,10,0)</f>
        <v>#N/A</v>
      </c>
    </row>
    <row r="215" spans="1:14" x14ac:dyDescent="0.2">
      <c r="A215" s="3" t="s">
        <v>286</v>
      </c>
      <c r="B215" s="3" t="s">
        <v>287</v>
      </c>
      <c r="C215" s="4">
        <v>4528</v>
      </c>
      <c r="D215" s="4" t="s">
        <v>689</v>
      </c>
      <c r="E215" s="4" t="s">
        <v>1201</v>
      </c>
      <c r="F215" s="27" t="e">
        <f>VLOOKUP(B215,Sheet5!A215:J538,2,0)</f>
        <v>#N/A</v>
      </c>
      <c r="G215" s="27" t="e">
        <f>VLOOKUP(B215,Sheet5!A215:J538,3,0)</f>
        <v>#N/A</v>
      </c>
      <c r="H215" s="27" t="e">
        <f>VLOOKUP(B215,Sheet5!A215:J538,4,0)</f>
        <v>#N/A</v>
      </c>
      <c r="I215" s="27" t="e">
        <f>VLOOKUP(B215,Sheet5!A215:J538,5,0)</f>
        <v>#N/A</v>
      </c>
      <c r="J215" s="27" t="e">
        <f>VLOOKUP(B215,Sheet5!A215:J538,6,0)</f>
        <v>#N/A</v>
      </c>
      <c r="K215" s="27" t="e">
        <f>VLOOKUP(B215,Sheet5!A215:J538,7,0)</f>
        <v>#N/A</v>
      </c>
      <c r="L215" s="27" t="e">
        <f>VLOOKUP(B215,Sheet5!A215:J538,8,0)</f>
        <v>#N/A</v>
      </c>
      <c r="M215" s="27" t="e">
        <f>VLOOKUP(B215,Sheet5!A215:J538,9,0)</f>
        <v>#N/A</v>
      </c>
      <c r="N215" s="27" t="e">
        <f>VLOOKUP(B215,Sheet5!A215:J538,10,0)</f>
        <v>#N/A</v>
      </c>
    </row>
    <row r="216" spans="1:14" x14ac:dyDescent="0.2">
      <c r="A216" s="3" t="s">
        <v>288</v>
      </c>
      <c r="B216" s="3" t="s">
        <v>289</v>
      </c>
      <c r="C216" s="4">
        <v>20686</v>
      </c>
      <c r="D216" s="4" t="s">
        <v>689</v>
      </c>
      <c r="E216" s="4" t="s">
        <v>1201</v>
      </c>
      <c r="F216" s="27" t="e">
        <f>VLOOKUP(B216,Sheet5!A216:J539,2,0)</f>
        <v>#N/A</v>
      </c>
      <c r="G216" s="27" t="e">
        <f>VLOOKUP(B216,Sheet5!A216:J539,3,0)</f>
        <v>#N/A</v>
      </c>
      <c r="H216" s="27" t="e">
        <f>VLOOKUP(B216,Sheet5!A216:J539,4,0)</f>
        <v>#N/A</v>
      </c>
      <c r="I216" s="27" t="e">
        <f>VLOOKUP(B216,Sheet5!A216:J539,5,0)</f>
        <v>#N/A</v>
      </c>
      <c r="J216" s="27" t="e">
        <f>VLOOKUP(B216,Sheet5!A216:J539,6,0)</f>
        <v>#N/A</v>
      </c>
      <c r="K216" s="27" t="e">
        <f>VLOOKUP(B216,Sheet5!A216:J539,7,0)</f>
        <v>#N/A</v>
      </c>
      <c r="L216" s="27" t="e">
        <f>VLOOKUP(B216,Sheet5!A216:J539,8,0)</f>
        <v>#N/A</v>
      </c>
      <c r="M216" s="27" t="e">
        <f>VLOOKUP(B216,Sheet5!A216:J539,9,0)</f>
        <v>#N/A</v>
      </c>
      <c r="N216" s="27" t="e">
        <f>VLOOKUP(B216,Sheet5!A216:J539,10,0)</f>
        <v>#N/A</v>
      </c>
    </row>
    <row r="217" spans="1:14" x14ac:dyDescent="0.2">
      <c r="A217" s="3" t="s">
        <v>290</v>
      </c>
      <c r="B217" s="3" t="s">
        <v>291</v>
      </c>
      <c r="C217" s="4">
        <v>21014</v>
      </c>
      <c r="D217" s="4" t="s">
        <v>689</v>
      </c>
      <c r="E217" s="4" t="s">
        <v>1201</v>
      </c>
      <c r="F217" s="27" t="str">
        <f>VLOOKUP(B217,Sheet5!A217:J540,2,0)</f>
        <v>笔记本电脑</v>
      </c>
      <c r="G217" s="27" t="str">
        <f>VLOOKUP(B217,Sheet5!A217:J540,3,0)</f>
        <v>ThinkPad</v>
      </c>
      <c r="H217" s="27" t="str">
        <f>VLOOKUP(B217,Sheet5!A217:J540,4,0)</f>
        <v>X230</v>
      </c>
      <c r="I217" s="27" t="str">
        <f>VLOOKUP(B217,Sheet5!A217:J540,5,0)</f>
        <v>95.00</v>
      </c>
      <c r="J217" s="27" t="str">
        <f>VLOOKUP(B217,Sheet5!A217:J540,6,0)</f>
        <v>2018/11/02</v>
      </c>
      <c r="K217" s="27" t="str">
        <f>VLOOKUP(B217,Sheet5!A217:J540,7,0)</f>
        <v>易点租</v>
      </c>
      <c r="L217" s="27" t="str">
        <f>VLOOKUP(B217,Sheet5!A217:J540,8,0)</f>
        <v>i5</v>
      </c>
      <c r="M217" s="27" t="str">
        <f>VLOOKUP(B217,Sheet5!A217:J540,9,0)</f>
        <v>8G</v>
      </c>
      <c r="N217" s="27" t="str">
        <f>VLOOKUP(B217,Sheet5!A217:J540,10,0)</f>
        <v>500G</v>
      </c>
    </row>
    <row r="218" spans="1:14" x14ac:dyDescent="0.2">
      <c r="A218" s="3" t="s">
        <v>292</v>
      </c>
      <c r="B218" s="3" t="s">
        <v>293</v>
      </c>
      <c r="C218" s="4">
        <v>20365</v>
      </c>
      <c r="D218" s="4" t="s">
        <v>689</v>
      </c>
      <c r="E218" s="4" t="s">
        <v>1201</v>
      </c>
      <c r="F218" s="27" t="e">
        <f>VLOOKUP(B218,Sheet5!A218:J541,2,0)</f>
        <v>#N/A</v>
      </c>
      <c r="G218" s="27" t="e">
        <f>VLOOKUP(B218,Sheet5!A218:J541,3,0)</f>
        <v>#N/A</v>
      </c>
      <c r="H218" s="27" t="e">
        <f>VLOOKUP(B218,Sheet5!A218:J541,4,0)</f>
        <v>#N/A</v>
      </c>
      <c r="I218" s="27" t="e">
        <f>VLOOKUP(B218,Sheet5!A218:J541,5,0)</f>
        <v>#N/A</v>
      </c>
      <c r="J218" s="27" t="e">
        <f>VLOOKUP(B218,Sheet5!A218:J541,6,0)</f>
        <v>#N/A</v>
      </c>
      <c r="K218" s="27" t="e">
        <f>VLOOKUP(B218,Sheet5!A218:J541,7,0)</f>
        <v>#N/A</v>
      </c>
      <c r="L218" s="27" t="e">
        <f>VLOOKUP(B218,Sheet5!A218:J541,8,0)</f>
        <v>#N/A</v>
      </c>
      <c r="M218" s="27" t="e">
        <f>VLOOKUP(B218,Sheet5!A218:J541,9,0)</f>
        <v>#N/A</v>
      </c>
      <c r="N218" s="27" t="e">
        <f>VLOOKUP(B218,Sheet5!A218:J541,10,0)</f>
        <v>#N/A</v>
      </c>
    </row>
    <row r="219" spans="1:14" x14ac:dyDescent="0.2">
      <c r="A219" s="3" t="s">
        <v>294</v>
      </c>
      <c r="B219" s="3" t="s">
        <v>295</v>
      </c>
      <c r="C219" s="4">
        <v>16239</v>
      </c>
      <c r="D219" s="4" t="s">
        <v>689</v>
      </c>
      <c r="E219" s="4" t="s">
        <v>1201</v>
      </c>
      <c r="F219" s="27" t="e">
        <f>VLOOKUP(B219,Sheet5!A219:J542,2,0)</f>
        <v>#N/A</v>
      </c>
      <c r="G219" s="27" t="e">
        <f>VLOOKUP(B219,Sheet5!A219:J542,3,0)</f>
        <v>#N/A</v>
      </c>
      <c r="H219" s="27" t="e">
        <f>VLOOKUP(B219,Sheet5!A219:J542,4,0)</f>
        <v>#N/A</v>
      </c>
      <c r="I219" s="27" t="e">
        <f>VLOOKUP(B219,Sheet5!A219:J542,5,0)</f>
        <v>#N/A</v>
      </c>
      <c r="J219" s="27" t="e">
        <f>VLOOKUP(B219,Sheet5!A219:J542,6,0)</f>
        <v>#N/A</v>
      </c>
      <c r="K219" s="27" t="e">
        <f>VLOOKUP(B219,Sheet5!A219:J542,7,0)</f>
        <v>#N/A</v>
      </c>
      <c r="L219" s="27" t="e">
        <f>VLOOKUP(B219,Sheet5!A219:J542,8,0)</f>
        <v>#N/A</v>
      </c>
      <c r="M219" s="27" t="e">
        <f>VLOOKUP(B219,Sheet5!A219:J542,9,0)</f>
        <v>#N/A</v>
      </c>
      <c r="N219" s="27" t="e">
        <f>VLOOKUP(B219,Sheet5!A219:J542,10,0)</f>
        <v>#N/A</v>
      </c>
    </row>
    <row r="220" spans="1:14" x14ac:dyDescent="0.2">
      <c r="A220" s="3" t="s">
        <v>296</v>
      </c>
      <c r="B220" s="3" t="s">
        <v>297</v>
      </c>
      <c r="C220" s="4">
        <v>16615</v>
      </c>
      <c r="D220" s="4" t="s">
        <v>689</v>
      </c>
      <c r="E220" s="4" t="s">
        <v>1201</v>
      </c>
      <c r="F220" s="27" t="e">
        <f>VLOOKUP(B220,Sheet5!A220:J543,2,0)</f>
        <v>#N/A</v>
      </c>
      <c r="G220" s="27" t="e">
        <f>VLOOKUP(B220,Sheet5!A220:J543,3,0)</f>
        <v>#N/A</v>
      </c>
      <c r="H220" s="27" t="e">
        <f>VLOOKUP(B220,Sheet5!A220:J543,4,0)</f>
        <v>#N/A</v>
      </c>
      <c r="I220" s="27" t="e">
        <f>VLOOKUP(B220,Sheet5!A220:J543,5,0)</f>
        <v>#N/A</v>
      </c>
      <c r="J220" s="27" t="e">
        <f>VLOOKUP(B220,Sheet5!A220:J543,6,0)</f>
        <v>#N/A</v>
      </c>
      <c r="K220" s="27" t="e">
        <f>VLOOKUP(B220,Sheet5!A220:J543,7,0)</f>
        <v>#N/A</v>
      </c>
      <c r="L220" s="27" t="e">
        <f>VLOOKUP(B220,Sheet5!A220:J543,8,0)</f>
        <v>#N/A</v>
      </c>
      <c r="M220" s="27" t="e">
        <f>VLOOKUP(B220,Sheet5!A220:J543,9,0)</f>
        <v>#N/A</v>
      </c>
      <c r="N220" s="27" t="e">
        <f>VLOOKUP(B220,Sheet5!A220:J543,10,0)</f>
        <v>#N/A</v>
      </c>
    </row>
    <row r="221" spans="1:14" x14ac:dyDescent="0.2">
      <c r="A221" s="3" t="s">
        <v>298</v>
      </c>
      <c r="B221" s="3" t="s">
        <v>299</v>
      </c>
      <c r="C221" s="4">
        <v>17234</v>
      </c>
      <c r="D221" s="4" t="s">
        <v>689</v>
      </c>
      <c r="E221" s="4" t="s">
        <v>1201</v>
      </c>
      <c r="F221" s="27" t="e">
        <f>VLOOKUP(B221,Sheet5!A221:J544,2,0)</f>
        <v>#N/A</v>
      </c>
      <c r="G221" s="27" t="e">
        <f>VLOOKUP(B221,Sheet5!A221:J544,3,0)</f>
        <v>#N/A</v>
      </c>
      <c r="H221" s="27" t="e">
        <f>VLOOKUP(B221,Sheet5!A221:J544,4,0)</f>
        <v>#N/A</v>
      </c>
      <c r="I221" s="27" t="e">
        <f>VLOOKUP(B221,Sheet5!A221:J544,5,0)</f>
        <v>#N/A</v>
      </c>
      <c r="J221" s="27" t="e">
        <f>VLOOKUP(B221,Sheet5!A221:J544,6,0)</f>
        <v>#N/A</v>
      </c>
      <c r="K221" s="27" t="e">
        <f>VLOOKUP(B221,Sheet5!A221:J544,7,0)</f>
        <v>#N/A</v>
      </c>
      <c r="L221" s="27" t="e">
        <f>VLOOKUP(B221,Sheet5!A221:J544,8,0)</f>
        <v>#N/A</v>
      </c>
      <c r="M221" s="27" t="e">
        <f>VLOOKUP(B221,Sheet5!A221:J544,9,0)</f>
        <v>#N/A</v>
      </c>
      <c r="N221" s="27" t="e">
        <f>VLOOKUP(B221,Sheet5!A221:J544,10,0)</f>
        <v>#N/A</v>
      </c>
    </row>
    <row r="222" spans="1:14" x14ac:dyDescent="0.2">
      <c r="A222" s="3" t="s">
        <v>300</v>
      </c>
      <c r="B222" s="3" t="s">
        <v>301</v>
      </c>
      <c r="C222" s="4">
        <v>4242</v>
      </c>
      <c r="D222" s="4" t="s">
        <v>689</v>
      </c>
      <c r="E222" s="4" t="s">
        <v>1201</v>
      </c>
      <c r="F222" s="27" t="e">
        <f>VLOOKUP(B222,Sheet5!A222:J545,2,0)</f>
        <v>#N/A</v>
      </c>
      <c r="G222" s="27" t="e">
        <f>VLOOKUP(B222,Sheet5!A222:J545,3,0)</f>
        <v>#N/A</v>
      </c>
      <c r="H222" s="27" t="e">
        <f>VLOOKUP(B222,Sheet5!A222:J545,4,0)</f>
        <v>#N/A</v>
      </c>
      <c r="I222" s="27" t="e">
        <f>VLOOKUP(B222,Sheet5!A222:J545,5,0)</f>
        <v>#N/A</v>
      </c>
      <c r="J222" s="27" t="e">
        <f>VLOOKUP(B222,Sheet5!A222:J545,6,0)</f>
        <v>#N/A</v>
      </c>
      <c r="K222" s="27" t="e">
        <f>VLOOKUP(B222,Sheet5!A222:J545,7,0)</f>
        <v>#N/A</v>
      </c>
      <c r="L222" s="27" t="e">
        <f>VLOOKUP(B222,Sheet5!A222:J545,8,0)</f>
        <v>#N/A</v>
      </c>
      <c r="M222" s="27" t="e">
        <f>VLOOKUP(B222,Sheet5!A222:J545,9,0)</f>
        <v>#N/A</v>
      </c>
      <c r="N222" s="27" t="e">
        <f>VLOOKUP(B222,Sheet5!A222:J545,10,0)</f>
        <v>#N/A</v>
      </c>
    </row>
    <row r="223" spans="1:14" x14ac:dyDescent="0.2">
      <c r="A223" s="3" t="s">
        <v>302</v>
      </c>
      <c r="B223" s="3" t="s">
        <v>303</v>
      </c>
      <c r="C223" s="4">
        <v>194</v>
      </c>
      <c r="D223" s="4" t="s">
        <v>689</v>
      </c>
      <c r="E223" s="4" t="s">
        <v>1201</v>
      </c>
      <c r="F223" s="27" t="e">
        <f>VLOOKUP(B223,Sheet5!A223:J546,2,0)</f>
        <v>#N/A</v>
      </c>
      <c r="G223" s="27" t="e">
        <f>VLOOKUP(B223,Sheet5!A223:J546,3,0)</f>
        <v>#N/A</v>
      </c>
      <c r="H223" s="27" t="e">
        <f>VLOOKUP(B223,Sheet5!A223:J546,4,0)</f>
        <v>#N/A</v>
      </c>
      <c r="I223" s="27" t="e">
        <f>VLOOKUP(B223,Sheet5!A223:J546,5,0)</f>
        <v>#N/A</v>
      </c>
      <c r="J223" s="27" t="e">
        <f>VLOOKUP(B223,Sheet5!A223:J546,6,0)</f>
        <v>#N/A</v>
      </c>
      <c r="K223" s="27" t="e">
        <f>VLOOKUP(B223,Sheet5!A223:J546,7,0)</f>
        <v>#N/A</v>
      </c>
      <c r="L223" s="27" t="e">
        <f>VLOOKUP(B223,Sheet5!A223:J546,8,0)</f>
        <v>#N/A</v>
      </c>
      <c r="M223" s="27" t="e">
        <f>VLOOKUP(B223,Sheet5!A223:J546,9,0)</f>
        <v>#N/A</v>
      </c>
      <c r="N223" s="27" t="e">
        <f>VLOOKUP(B223,Sheet5!A223:J546,10,0)</f>
        <v>#N/A</v>
      </c>
    </row>
    <row r="224" spans="1:14" x14ac:dyDescent="0.2">
      <c r="A224" s="3" t="s">
        <v>304</v>
      </c>
      <c r="B224" s="3" t="s">
        <v>305</v>
      </c>
      <c r="C224" s="4">
        <v>571</v>
      </c>
      <c r="D224" s="4" t="s">
        <v>689</v>
      </c>
      <c r="E224" s="4" t="s">
        <v>1201</v>
      </c>
      <c r="F224" s="27" t="e">
        <f>VLOOKUP(B224,Sheet5!A224:J547,2,0)</f>
        <v>#N/A</v>
      </c>
      <c r="G224" s="27" t="e">
        <f>VLOOKUP(B224,Sheet5!A224:J547,3,0)</f>
        <v>#N/A</v>
      </c>
      <c r="H224" s="27" t="e">
        <f>VLOOKUP(B224,Sheet5!A224:J547,4,0)</f>
        <v>#N/A</v>
      </c>
      <c r="I224" s="27" t="e">
        <f>VLOOKUP(B224,Sheet5!A224:J547,5,0)</f>
        <v>#N/A</v>
      </c>
      <c r="J224" s="27" t="e">
        <f>VLOOKUP(B224,Sheet5!A224:J547,6,0)</f>
        <v>#N/A</v>
      </c>
      <c r="K224" s="27" t="e">
        <f>VLOOKUP(B224,Sheet5!A224:J547,7,0)</f>
        <v>#N/A</v>
      </c>
      <c r="L224" s="27" t="e">
        <f>VLOOKUP(B224,Sheet5!A224:J547,8,0)</f>
        <v>#N/A</v>
      </c>
      <c r="M224" s="27" t="e">
        <f>VLOOKUP(B224,Sheet5!A224:J547,9,0)</f>
        <v>#N/A</v>
      </c>
      <c r="N224" s="27" t="e">
        <f>VLOOKUP(B224,Sheet5!A224:J547,10,0)</f>
        <v>#N/A</v>
      </c>
    </row>
    <row r="225" spans="1:14" x14ac:dyDescent="0.2">
      <c r="A225" s="3" t="s">
        <v>306</v>
      </c>
      <c r="B225" s="3" t="s">
        <v>303</v>
      </c>
      <c r="C225" s="4">
        <v>8480</v>
      </c>
      <c r="D225" s="4" t="s">
        <v>689</v>
      </c>
      <c r="E225" s="4" t="s">
        <v>1201</v>
      </c>
      <c r="F225" s="27" t="e">
        <f>VLOOKUP(B225,Sheet5!A225:J548,2,0)</f>
        <v>#N/A</v>
      </c>
      <c r="G225" s="27" t="e">
        <f>VLOOKUP(B225,Sheet5!A225:J548,3,0)</f>
        <v>#N/A</v>
      </c>
      <c r="H225" s="27" t="e">
        <f>VLOOKUP(B225,Sheet5!A225:J548,4,0)</f>
        <v>#N/A</v>
      </c>
      <c r="I225" s="27" t="e">
        <f>VLOOKUP(B225,Sheet5!A225:J548,5,0)</f>
        <v>#N/A</v>
      </c>
      <c r="J225" s="27" t="e">
        <f>VLOOKUP(B225,Sheet5!A225:J548,6,0)</f>
        <v>#N/A</v>
      </c>
      <c r="K225" s="27" t="e">
        <f>VLOOKUP(B225,Sheet5!A225:J548,7,0)</f>
        <v>#N/A</v>
      </c>
      <c r="L225" s="27" t="e">
        <f>VLOOKUP(B225,Sheet5!A225:J548,8,0)</f>
        <v>#N/A</v>
      </c>
      <c r="M225" s="27" t="e">
        <f>VLOOKUP(B225,Sheet5!A225:J548,9,0)</f>
        <v>#N/A</v>
      </c>
      <c r="N225" s="27" t="e">
        <f>VLOOKUP(B225,Sheet5!A225:J548,10,0)</f>
        <v>#N/A</v>
      </c>
    </row>
    <row r="226" spans="1:14" x14ac:dyDescent="0.2">
      <c r="A226" s="3" t="s">
        <v>616</v>
      </c>
      <c r="B226" s="3" t="s">
        <v>617</v>
      </c>
      <c r="C226" s="4">
        <v>12983</v>
      </c>
      <c r="D226" s="4" t="s">
        <v>689</v>
      </c>
      <c r="E226" s="4" t="s">
        <v>1201</v>
      </c>
      <c r="F226" s="27" t="e">
        <f>VLOOKUP(B226,Sheet5!A226:J549,2,0)</f>
        <v>#N/A</v>
      </c>
      <c r="G226" s="27" t="e">
        <f>VLOOKUP(B226,Sheet5!A226:J549,3,0)</f>
        <v>#N/A</v>
      </c>
      <c r="H226" s="27" t="e">
        <f>VLOOKUP(B226,Sheet5!A226:J549,4,0)</f>
        <v>#N/A</v>
      </c>
      <c r="I226" s="27" t="e">
        <f>VLOOKUP(B226,Sheet5!A226:J549,5,0)</f>
        <v>#N/A</v>
      </c>
      <c r="J226" s="27" t="e">
        <f>VLOOKUP(B226,Sheet5!A226:J549,6,0)</f>
        <v>#N/A</v>
      </c>
      <c r="K226" s="27" t="e">
        <f>VLOOKUP(B226,Sheet5!A226:J549,7,0)</f>
        <v>#N/A</v>
      </c>
      <c r="L226" s="27" t="e">
        <f>VLOOKUP(B226,Sheet5!A226:J549,8,0)</f>
        <v>#N/A</v>
      </c>
      <c r="M226" s="27" t="e">
        <f>VLOOKUP(B226,Sheet5!A226:J549,9,0)</f>
        <v>#N/A</v>
      </c>
      <c r="N226" s="27" t="e">
        <f>VLOOKUP(B226,Sheet5!A226:J549,10,0)</f>
        <v>#N/A</v>
      </c>
    </row>
    <row r="227" spans="1:14" x14ac:dyDescent="0.2">
      <c r="A227" s="3" t="s">
        <v>616</v>
      </c>
      <c r="B227" s="3" t="s">
        <v>617</v>
      </c>
      <c r="C227" s="4">
        <v>12983</v>
      </c>
      <c r="D227" s="4" t="s">
        <v>689</v>
      </c>
      <c r="E227" s="4" t="s">
        <v>1201</v>
      </c>
      <c r="F227" s="27" t="e">
        <f>VLOOKUP(B227,Sheet5!A227:J550,2,0)</f>
        <v>#N/A</v>
      </c>
      <c r="G227" s="27" t="e">
        <f>VLOOKUP(B227,Sheet5!A227:J550,3,0)</f>
        <v>#N/A</v>
      </c>
      <c r="H227" s="27" t="e">
        <f>VLOOKUP(B227,Sheet5!A227:J550,4,0)</f>
        <v>#N/A</v>
      </c>
      <c r="I227" s="27" t="e">
        <f>VLOOKUP(B227,Sheet5!A227:J550,5,0)</f>
        <v>#N/A</v>
      </c>
      <c r="J227" s="27" t="e">
        <f>VLOOKUP(B227,Sheet5!A227:J550,6,0)</f>
        <v>#N/A</v>
      </c>
      <c r="K227" s="27" t="e">
        <f>VLOOKUP(B227,Sheet5!A227:J550,7,0)</f>
        <v>#N/A</v>
      </c>
      <c r="L227" s="27" t="e">
        <f>VLOOKUP(B227,Sheet5!A227:J550,8,0)</f>
        <v>#N/A</v>
      </c>
      <c r="M227" s="27" t="e">
        <f>VLOOKUP(B227,Sheet5!A227:J550,9,0)</f>
        <v>#N/A</v>
      </c>
      <c r="N227" s="27" t="e">
        <f>VLOOKUP(B227,Sheet5!A227:J550,10,0)</f>
        <v>#N/A</v>
      </c>
    </row>
    <row r="228" spans="1:14" x14ac:dyDescent="0.2">
      <c r="A228" s="3" t="s">
        <v>616</v>
      </c>
      <c r="B228" s="3" t="s">
        <v>617</v>
      </c>
      <c r="C228" s="4">
        <v>12983</v>
      </c>
      <c r="D228" s="4" t="s">
        <v>689</v>
      </c>
      <c r="E228" s="4" t="s">
        <v>1201</v>
      </c>
      <c r="F228" s="27" t="e">
        <f>VLOOKUP(B228,Sheet5!A228:J551,2,0)</f>
        <v>#N/A</v>
      </c>
      <c r="G228" s="27" t="e">
        <f>VLOOKUP(B228,Sheet5!A228:J551,3,0)</f>
        <v>#N/A</v>
      </c>
      <c r="H228" s="27" t="e">
        <f>VLOOKUP(B228,Sheet5!A228:J551,4,0)</f>
        <v>#N/A</v>
      </c>
      <c r="I228" s="27" t="e">
        <f>VLOOKUP(B228,Sheet5!A228:J551,5,0)</f>
        <v>#N/A</v>
      </c>
      <c r="J228" s="27" t="e">
        <f>VLOOKUP(B228,Sheet5!A228:J551,6,0)</f>
        <v>#N/A</v>
      </c>
      <c r="K228" s="27" t="e">
        <f>VLOOKUP(B228,Sheet5!A228:J551,7,0)</f>
        <v>#N/A</v>
      </c>
      <c r="L228" s="27" t="e">
        <f>VLOOKUP(B228,Sheet5!A228:J551,8,0)</f>
        <v>#N/A</v>
      </c>
      <c r="M228" s="27" t="e">
        <f>VLOOKUP(B228,Sheet5!A228:J551,9,0)</f>
        <v>#N/A</v>
      </c>
      <c r="N228" s="27" t="e">
        <f>VLOOKUP(B228,Sheet5!A228:J551,10,0)</f>
        <v>#N/A</v>
      </c>
    </row>
    <row r="229" spans="1:14" x14ac:dyDescent="0.2">
      <c r="A229" s="3" t="s">
        <v>616</v>
      </c>
      <c r="B229" s="3" t="s">
        <v>618</v>
      </c>
      <c r="C229" s="4">
        <v>12983</v>
      </c>
      <c r="D229" s="4" t="s">
        <v>689</v>
      </c>
      <c r="E229" s="4" t="s">
        <v>1201</v>
      </c>
      <c r="F229" s="27" t="e">
        <f>VLOOKUP(B229,Sheet5!A229:J552,2,0)</f>
        <v>#N/A</v>
      </c>
      <c r="G229" s="27" t="e">
        <f>VLOOKUP(B229,Sheet5!A229:J552,3,0)</f>
        <v>#N/A</v>
      </c>
      <c r="H229" s="27" t="e">
        <f>VLOOKUP(B229,Sheet5!A229:J552,4,0)</f>
        <v>#N/A</v>
      </c>
      <c r="I229" s="27" t="e">
        <f>VLOOKUP(B229,Sheet5!A229:J552,5,0)</f>
        <v>#N/A</v>
      </c>
      <c r="J229" s="27" t="e">
        <f>VLOOKUP(B229,Sheet5!A229:J552,6,0)</f>
        <v>#N/A</v>
      </c>
      <c r="K229" s="27" t="e">
        <f>VLOOKUP(B229,Sheet5!A229:J552,7,0)</f>
        <v>#N/A</v>
      </c>
      <c r="L229" s="27" t="e">
        <f>VLOOKUP(B229,Sheet5!A229:J552,8,0)</f>
        <v>#N/A</v>
      </c>
      <c r="M229" s="27" t="e">
        <f>VLOOKUP(B229,Sheet5!A229:J552,9,0)</f>
        <v>#N/A</v>
      </c>
      <c r="N229" s="27" t="e">
        <f>VLOOKUP(B229,Sheet5!A229:J552,10,0)</f>
        <v>#N/A</v>
      </c>
    </row>
    <row r="230" spans="1:14" x14ac:dyDescent="0.2">
      <c r="A230" s="3" t="s">
        <v>616</v>
      </c>
      <c r="B230" s="3" t="s">
        <v>618</v>
      </c>
      <c r="C230" s="4">
        <v>12983</v>
      </c>
      <c r="D230" s="4" t="s">
        <v>689</v>
      </c>
      <c r="E230" s="4" t="s">
        <v>1201</v>
      </c>
      <c r="F230" s="27" t="e">
        <f>VLOOKUP(B230,Sheet5!A230:J553,2,0)</f>
        <v>#N/A</v>
      </c>
      <c r="G230" s="27" t="e">
        <f>VLOOKUP(B230,Sheet5!A230:J553,3,0)</f>
        <v>#N/A</v>
      </c>
      <c r="H230" s="27" t="e">
        <f>VLOOKUP(B230,Sheet5!A230:J553,4,0)</f>
        <v>#N/A</v>
      </c>
      <c r="I230" s="27" t="e">
        <f>VLOOKUP(B230,Sheet5!A230:J553,5,0)</f>
        <v>#N/A</v>
      </c>
      <c r="J230" s="27" t="e">
        <f>VLOOKUP(B230,Sheet5!A230:J553,6,0)</f>
        <v>#N/A</v>
      </c>
      <c r="K230" s="27" t="e">
        <f>VLOOKUP(B230,Sheet5!A230:J553,7,0)</f>
        <v>#N/A</v>
      </c>
      <c r="L230" s="27" t="e">
        <f>VLOOKUP(B230,Sheet5!A230:J553,8,0)</f>
        <v>#N/A</v>
      </c>
      <c r="M230" s="27" t="e">
        <f>VLOOKUP(B230,Sheet5!A230:J553,9,0)</f>
        <v>#N/A</v>
      </c>
      <c r="N230" s="27" t="e">
        <f>VLOOKUP(B230,Sheet5!A230:J553,10,0)</f>
        <v>#N/A</v>
      </c>
    </row>
    <row r="231" spans="1:14" x14ac:dyDescent="0.2">
      <c r="A231" s="3" t="s">
        <v>616</v>
      </c>
      <c r="B231" s="3" t="s">
        <v>618</v>
      </c>
      <c r="C231" s="4">
        <v>12983</v>
      </c>
      <c r="D231" s="4" t="s">
        <v>689</v>
      </c>
      <c r="E231" s="4" t="s">
        <v>1201</v>
      </c>
      <c r="F231" s="27" t="e">
        <f>VLOOKUP(B231,Sheet5!A231:J554,2,0)</f>
        <v>#N/A</v>
      </c>
      <c r="G231" s="27" t="e">
        <f>VLOOKUP(B231,Sheet5!A231:J554,3,0)</f>
        <v>#N/A</v>
      </c>
      <c r="H231" s="27" t="e">
        <f>VLOOKUP(B231,Sheet5!A231:J554,4,0)</f>
        <v>#N/A</v>
      </c>
      <c r="I231" s="27" t="e">
        <f>VLOOKUP(B231,Sheet5!A231:J554,5,0)</f>
        <v>#N/A</v>
      </c>
      <c r="J231" s="27" t="e">
        <f>VLOOKUP(B231,Sheet5!A231:J554,6,0)</f>
        <v>#N/A</v>
      </c>
      <c r="K231" s="27" t="e">
        <f>VLOOKUP(B231,Sheet5!A231:J554,7,0)</f>
        <v>#N/A</v>
      </c>
      <c r="L231" s="27" t="e">
        <f>VLOOKUP(B231,Sheet5!A231:J554,8,0)</f>
        <v>#N/A</v>
      </c>
      <c r="M231" s="27" t="e">
        <f>VLOOKUP(B231,Sheet5!A231:J554,9,0)</f>
        <v>#N/A</v>
      </c>
      <c r="N231" s="27" t="e">
        <f>VLOOKUP(B231,Sheet5!A231:J554,10,0)</f>
        <v>#N/A</v>
      </c>
    </row>
    <row r="232" spans="1:14" x14ac:dyDescent="0.2">
      <c r="A232" s="3" t="s">
        <v>616</v>
      </c>
      <c r="B232" s="3" t="s">
        <v>618</v>
      </c>
      <c r="C232" s="4">
        <v>12983</v>
      </c>
      <c r="D232" s="4" t="s">
        <v>689</v>
      </c>
      <c r="E232" s="4" t="s">
        <v>1201</v>
      </c>
      <c r="F232" s="27" t="e">
        <f>VLOOKUP(B232,Sheet5!A232:J555,2,0)</f>
        <v>#N/A</v>
      </c>
      <c r="G232" s="27" t="e">
        <f>VLOOKUP(B232,Sheet5!A232:J555,3,0)</f>
        <v>#N/A</v>
      </c>
      <c r="H232" s="27" t="e">
        <f>VLOOKUP(B232,Sheet5!A232:J555,4,0)</f>
        <v>#N/A</v>
      </c>
      <c r="I232" s="27" t="e">
        <f>VLOOKUP(B232,Sheet5!A232:J555,5,0)</f>
        <v>#N/A</v>
      </c>
      <c r="J232" s="27" t="e">
        <f>VLOOKUP(B232,Sheet5!A232:J555,6,0)</f>
        <v>#N/A</v>
      </c>
      <c r="K232" s="27" t="e">
        <f>VLOOKUP(B232,Sheet5!A232:J555,7,0)</f>
        <v>#N/A</v>
      </c>
      <c r="L232" s="27" t="e">
        <f>VLOOKUP(B232,Sheet5!A232:J555,8,0)</f>
        <v>#N/A</v>
      </c>
      <c r="M232" s="27" t="e">
        <f>VLOOKUP(B232,Sheet5!A232:J555,9,0)</f>
        <v>#N/A</v>
      </c>
      <c r="N232" s="27" t="e">
        <f>VLOOKUP(B232,Sheet5!A232:J555,10,0)</f>
        <v>#N/A</v>
      </c>
    </row>
    <row r="233" spans="1:14" x14ac:dyDescent="0.2">
      <c r="A233" s="3" t="s">
        <v>616</v>
      </c>
      <c r="B233" s="3" t="s">
        <v>618</v>
      </c>
      <c r="C233" s="4">
        <v>12983</v>
      </c>
      <c r="D233" s="4" t="s">
        <v>689</v>
      </c>
      <c r="E233" s="4" t="s">
        <v>1201</v>
      </c>
      <c r="F233" s="27" t="e">
        <f>VLOOKUP(B233,Sheet5!A233:J556,2,0)</f>
        <v>#N/A</v>
      </c>
      <c r="G233" s="27" t="e">
        <f>VLOOKUP(B233,Sheet5!A233:J556,3,0)</f>
        <v>#N/A</v>
      </c>
      <c r="H233" s="27" t="e">
        <f>VLOOKUP(B233,Sheet5!A233:J556,4,0)</f>
        <v>#N/A</v>
      </c>
      <c r="I233" s="27" t="e">
        <f>VLOOKUP(B233,Sheet5!A233:J556,5,0)</f>
        <v>#N/A</v>
      </c>
      <c r="J233" s="27" t="e">
        <f>VLOOKUP(B233,Sheet5!A233:J556,6,0)</f>
        <v>#N/A</v>
      </c>
      <c r="K233" s="27" t="e">
        <f>VLOOKUP(B233,Sheet5!A233:J556,7,0)</f>
        <v>#N/A</v>
      </c>
      <c r="L233" s="27" t="e">
        <f>VLOOKUP(B233,Sheet5!A233:J556,8,0)</f>
        <v>#N/A</v>
      </c>
      <c r="M233" s="27" t="e">
        <f>VLOOKUP(B233,Sheet5!A233:J556,9,0)</f>
        <v>#N/A</v>
      </c>
      <c r="N233" s="27" t="e">
        <f>VLOOKUP(B233,Sheet5!A233:J556,10,0)</f>
        <v>#N/A</v>
      </c>
    </row>
    <row r="234" spans="1:14" x14ac:dyDescent="0.2">
      <c r="A234" s="3" t="s">
        <v>616</v>
      </c>
      <c r="B234" s="3" t="s">
        <v>618</v>
      </c>
      <c r="C234" s="4">
        <v>12983</v>
      </c>
      <c r="D234" s="4" t="s">
        <v>689</v>
      </c>
      <c r="E234" s="4" t="s">
        <v>1201</v>
      </c>
      <c r="F234" s="27" t="e">
        <f>VLOOKUP(B234,Sheet5!A234:J557,2,0)</f>
        <v>#N/A</v>
      </c>
      <c r="G234" s="27" t="e">
        <f>VLOOKUP(B234,Sheet5!A234:J557,3,0)</f>
        <v>#N/A</v>
      </c>
      <c r="H234" s="27" t="e">
        <f>VLOOKUP(B234,Sheet5!A234:J557,4,0)</f>
        <v>#N/A</v>
      </c>
      <c r="I234" s="27" t="e">
        <f>VLOOKUP(B234,Sheet5!A234:J557,5,0)</f>
        <v>#N/A</v>
      </c>
      <c r="J234" s="27" t="e">
        <f>VLOOKUP(B234,Sheet5!A234:J557,6,0)</f>
        <v>#N/A</v>
      </c>
      <c r="K234" s="27" t="e">
        <f>VLOOKUP(B234,Sheet5!A234:J557,7,0)</f>
        <v>#N/A</v>
      </c>
      <c r="L234" s="27" t="e">
        <f>VLOOKUP(B234,Sheet5!A234:J557,8,0)</f>
        <v>#N/A</v>
      </c>
      <c r="M234" s="27" t="e">
        <f>VLOOKUP(B234,Sheet5!A234:J557,9,0)</f>
        <v>#N/A</v>
      </c>
      <c r="N234" s="27" t="e">
        <f>VLOOKUP(B234,Sheet5!A234:J557,10,0)</f>
        <v>#N/A</v>
      </c>
    </row>
    <row r="235" spans="1:14" x14ac:dyDescent="0.2">
      <c r="A235" s="3" t="s">
        <v>307</v>
      </c>
      <c r="B235" s="3" t="s">
        <v>619</v>
      </c>
      <c r="C235" s="4">
        <v>7703</v>
      </c>
      <c r="D235" s="4" t="s">
        <v>689</v>
      </c>
      <c r="E235" s="4" t="s">
        <v>1202</v>
      </c>
      <c r="F235" s="27" t="e">
        <f>VLOOKUP(B235,Sheet5!A235:J558,2,0)</f>
        <v>#N/A</v>
      </c>
      <c r="G235" s="27" t="e">
        <f>VLOOKUP(B235,Sheet5!A235:J558,3,0)</f>
        <v>#N/A</v>
      </c>
      <c r="H235" s="27" t="e">
        <f>VLOOKUP(B235,Sheet5!A235:J558,4,0)</f>
        <v>#N/A</v>
      </c>
      <c r="I235" s="27" t="e">
        <f>VLOOKUP(B235,Sheet5!A235:J558,5,0)</f>
        <v>#N/A</v>
      </c>
      <c r="J235" s="27" t="e">
        <f>VLOOKUP(B235,Sheet5!A235:J558,6,0)</f>
        <v>#N/A</v>
      </c>
      <c r="K235" s="27" t="e">
        <f>VLOOKUP(B235,Sheet5!A235:J558,7,0)</f>
        <v>#N/A</v>
      </c>
      <c r="L235" s="27" t="e">
        <f>VLOOKUP(B235,Sheet5!A235:J558,8,0)</f>
        <v>#N/A</v>
      </c>
      <c r="M235" s="27" t="e">
        <f>VLOOKUP(B235,Sheet5!A235:J558,9,0)</f>
        <v>#N/A</v>
      </c>
      <c r="N235" s="27" t="e">
        <f>VLOOKUP(B235,Sheet5!A235:J558,10,0)</f>
        <v>#N/A</v>
      </c>
    </row>
    <row r="236" spans="1:14" x14ac:dyDescent="0.2">
      <c r="A236" s="3" t="s">
        <v>308</v>
      </c>
      <c r="B236" s="3" t="s">
        <v>620</v>
      </c>
      <c r="C236" s="4">
        <v>2546</v>
      </c>
      <c r="D236" s="4" t="s">
        <v>689</v>
      </c>
      <c r="E236" s="4" t="s">
        <v>1202</v>
      </c>
      <c r="F236" s="27" t="e">
        <f>VLOOKUP(B236,Sheet5!A236:J559,2,0)</f>
        <v>#N/A</v>
      </c>
      <c r="G236" s="27" t="e">
        <f>VLOOKUP(B236,Sheet5!A236:J559,3,0)</f>
        <v>#N/A</v>
      </c>
      <c r="H236" s="27" t="e">
        <f>VLOOKUP(B236,Sheet5!A236:J559,4,0)</f>
        <v>#N/A</v>
      </c>
      <c r="I236" s="27" t="e">
        <f>VLOOKUP(B236,Sheet5!A236:J559,5,0)</f>
        <v>#N/A</v>
      </c>
      <c r="J236" s="27" t="e">
        <f>VLOOKUP(B236,Sheet5!A236:J559,6,0)</f>
        <v>#N/A</v>
      </c>
      <c r="K236" s="27" t="e">
        <f>VLOOKUP(B236,Sheet5!A236:J559,7,0)</f>
        <v>#N/A</v>
      </c>
      <c r="L236" s="27" t="e">
        <f>VLOOKUP(B236,Sheet5!A236:J559,8,0)</f>
        <v>#N/A</v>
      </c>
      <c r="M236" s="27" t="e">
        <f>VLOOKUP(B236,Sheet5!A236:J559,9,0)</f>
        <v>#N/A</v>
      </c>
      <c r="N236" s="27" t="e">
        <f>VLOOKUP(B236,Sheet5!A236:J559,10,0)</f>
        <v>#N/A</v>
      </c>
    </row>
    <row r="237" spans="1:14" x14ac:dyDescent="0.2">
      <c r="A237" s="3" t="s">
        <v>309</v>
      </c>
      <c r="B237" s="3" t="s">
        <v>621</v>
      </c>
      <c r="C237" s="4">
        <v>3778</v>
      </c>
      <c r="D237" s="4" t="s">
        <v>689</v>
      </c>
      <c r="E237" s="4" t="s">
        <v>1202</v>
      </c>
      <c r="F237" s="27" t="e">
        <f>VLOOKUP(B237,Sheet5!A237:J560,2,0)</f>
        <v>#N/A</v>
      </c>
      <c r="G237" s="27" t="e">
        <f>VLOOKUP(B237,Sheet5!A237:J560,3,0)</f>
        <v>#N/A</v>
      </c>
      <c r="H237" s="27" t="e">
        <f>VLOOKUP(B237,Sheet5!A237:J560,4,0)</f>
        <v>#N/A</v>
      </c>
      <c r="I237" s="27" t="e">
        <f>VLOOKUP(B237,Sheet5!A237:J560,5,0)</f>
        <v>#N/A</v>
      </c>
      <c r="J237" s="27" t="e">
        <f>VLOOKUP(B237,Sheet5!A237:J560,6,0)</f>
        <v>#N/A</v>
      </c>
      <c r="K237" s="27" t="e">
        <f>VLOOKUP(B237,Sheet5!A237:J560,7,0)</f>
        <v>#N/A</v>
      </c>
      <c r="L237" s="27" t="e">
        <f>VLOOKUP(B237,Sheet5!A237:J560,8,0)</f>
        <v>#N/A</v>
      </c>
      <c r="M237" s="27" t="e">
        <f>VLOOKUP(B237,Sheet5!A237:J560,9,0)</f>
        <v>#N/A</v>
      </c>
      <c r="N237" s="27" t="e">
        <f>VLOOKUP(B237,Sheet5!A237:J560,10,0)</f>
        <v>#N/A</v>
      </c>
    </row>
    <row r="238" spans="1:14" x14ac:dyDescent="0.2">
      <c r="A238" s="3" t="s">
        <v>310</v>
      </c>
      <c r="B238" s="3" t="s">
        <v>622</v>
      </c>
      <c r="C238" s="4">
        <v>2168</v>
      </c>
      <c r="D238" s="4" t="s">
        <v>689</v>
      </c>
      <c r="E238" s="4" t="s">
        <v>1202</v>
      </c>
      <c r="F238" s="27" t="e">
        <f>VLOOKUP(B238,Sheet5!A238:J561,2,0)</f>
        <v>#N/A</v>
      </c>
      <c r="G238" s="27" t="e">
        <f>VLOOKUP(B238,Sheet5!A238:J561,3,0)</f>
        <v>#N/A</v>
      </c>
      <c r="H238" s="27" t="e">
        <f>VLOOKUP(B238,Sheet5!A238:J561,4,0)</f>
        <v>#N/A</v>
      </c>
      <c r="I238" s="27" t="e">
        <f>VLOOKUP(B238,Sheet5!A238:J561,5,0)</f>
        <v>#N/A</v>
      </c>
      <c r="J238" s="27" t="e">
        <f>VLOOKUP(B238,Sheet5!A238:J561,6,0)</f>
        <v>#N/A</v>
      </c>
      <c r="K238" s="27" t="e">
        <f>VLOOKUP(B238,Sheet5!A238:J561,7,0)</f>
        <v>#N/A</v>
      </c>
      <c r="L238" s="27" t="e">
        <f>VLOOKUP(B238,Sheet5!A238:J561,8,0)</f>
        <v>#N/A</v>
      </c>
      <c r="M238" s="27" t="e">
        <f>VLOOKUP(B238,Sheet5!A238:J561,9,0)</f>
        <v>#N/A</v>
      </c>
      <c r="N238" s="27" t="e">
        <f>VLOOKUP(B238,Sheet5!A238:J561,10,0)</f>
        <v>#N/A</v>
      </c>
    </row>
    <row r="239" spans="1:14" x14ac:dyDescent="0.2">
      <c r="A239" s="3" t="s">
        <v>311</v>
      </c>
      <c r="B239" s="3" t="s">
        <v>623</v>
      </c>
      <c r="C239" s="4">
        <v>9497</v>
      </c>
      <c r="D239" s="4" t="s">
        <v>689</v>
      </c>
      <c r="E239" s="4" t="s">
        <v>1202</v>
      </c>
      <c r="F239" s="27" t="e">
        <f>VLOOKUP(B239,Sheet5!A239:J562,2,0)</f>
        <v>#N/A</v>
      </c>
      <c r="G239" s="27" t="e">
        <f>VLOOKUP(B239,Sheet5!A239:J562,3,0)</f>
        <v>#N/A</v>
      </c>
      <c r="H239" s="27" t="e">
        <f>VLOOKUP(B239,Sheet5!A239:J562,4,0)</f>
        <v>#N/A</v>
      </c>
      <c r="I239" s="27" t="e">
        <f>VLOOKUP(B239,Sheet5!A239:J562,5,0)</f>
        <v>#N/A</v>
      </c>
      <c r="J239" s="27" t="e">
        <f>VLOOKUP(B239,Sheet5!A239:J562,6,0)</f>
        <v>#N/A</v>
      </c>
      <c r="K239" s="27" t="e">
        <f>VLOOKUP(B239,Sheet5!A239:J562,7,0)</f>
        <v>#N/A</v>
      </c>
      <c r="L239" s="27" t="e">
        <f>VLOOKUP(B239,Sheet5!A239:J562,8,0)</f>
        <v>#N/A</v>
      </c>
      <c r="M239" s="27" t="e">
        <f>VLOOKUP(B239,Sheet5!A239:J562,9,0)</f>
        <v>#N/A</v>
      </c>
      <c r="N239" s="27" t="e">
        <f>VLOOKUP(B239,Sheet5!A239:J562,10,0)</f>
        <v>#N/A</v>
      </c>
    </row>
    <row r="240" spans="1:14" x14ac:dyDescent="0.2">
      <c r="A240" s="3" t="s">
        <v>312</v>
      </c>
      <c r="B240" s="3" t="s">
        <v>313</v>
      </c>
      <c r="C240" s="4">
        <v>2144</v>
      </c>
      <c r="D240" s="4" t="s">
        <v>689</v>
      </c>
      <c r="E240" s="4" t="s">
        <v>1202</v>
      </c>
      <c r="F240" s="27" t="e">
        <f>VLOOKUP(B240,Sheet5!A240:J563,2,0)</f>
        <v>#N/A</v>
      </c>
      <c r="G240" s="27" t="e">
        <f>VLOOKUP(B240,Sheet5!A240:J563,3,0)</f>
        <v>#N/A</v>
      </c>
      <c r="H240" s="27" t="e">
        <f>VLOOKUP(B240,Sheet5!A240:J563,4,0)</f>
        <v>#N/A</v>
      </c>
      <c r="I240" s="27" t="e">
        <f>VLOOKUP(B240,Sheet5!A240:J563,5,0)</f>
        <v>#N/A</v>
      </c>
      <c r="J240" s="27" t="e">
        <f>VLOOKUP(B240,Sheet5!A240:J563,6,0)</f>
        <v>#N/A</v>
      </c>
      <c r="K240" s="27" t="e">
        <f>VLOOKUP(B240,Sheet5!A240:J563,7,0)</f>
        <v>#N/A</v>
      </c>
      <c r="L240" s="27" t="e">
        <f>VLOOKUP(B240,Sheet5!A240:J563,8,0)</f>
        <v>#N/A</v>
      </c>
      <c r="M240" s="27" t="e">
        <f>VLOOKUP(B240,Sheet5!A240:J563,9,0)</f>
        <v>#N/A</v>
      </c>
      <c r="N240" s="27" t="e">
        <f>VLOOKUP(B240,Sheet5!A240:J563,10,0)</f>
        <v>#N/A</v>
      </c>
    </row>
    <row r="241" spans="1:14" x14ac:dyDescent="0.2">
      <c r="A241" s="3" t="s">
        <v>314</v>
      </c>
      <c r="B241" s="3" t="s">
        <v>624</v>
      </c>
      <c r="C241" s="4">
        <v>5913</v>
      </c>
      <c r="D241" s="4" t="s">
        <v>689</v>
      </c>
      <c r="E241" s="4" t="s">
        <v>1202</v>
      </c>
      <c r="F241" s="27" t="str">
        <f>VLOOKUP(B241,Sheet5!A241:J564,2,0)</f>
        <v>笔记本电脑</v>
      </c>
      <c r="G241" s="27" t="str">
        <f>VLOOKUP(B241,Sheet5!A241:J564,3,0)</f>
        <v>ThinkPad</v>
      </c>
      <c r="H241" s="27" t="str">
        <f>VLOOKUP(B241,Sheet5!A241:J564,4,0)</f>
        <v>X240</v>
      </c>
      <c r="I241" s="27" t="str">
        <f>VLOOKUP(B241,Sheet5!A241:J564,5,0)</f>
        <v>115.00</v>
      </c>
      <c r="J241" s="27" t="str">
        <f>VLOOKUP(B241,Sheet5!A241:J564,6,0)</f>
        <v>2018/04/21</v>
      </c>
      <c r="K241" s="27" t="str">
        <f>VLOOKUP(B241,Sheet5!A241:J564,7,0)</f>
        <v>易点租</v>
      </c>
      <c r="L241" s="27" t="str">
        <f>VLOOKUP(B241,Sheet5!A241:J564,8,0)</f>
        <v>i5</v>
      </c>
      <c r="M241" s="27" t="str">
        <f>VLOOKUP(B241,Sheet5!A241:J564,9,0)</f>
        <v>8G</v>
      </c>
      <c r="N241" s="27" t="str">
        <f>VLOOKUP(B241,Sheet5!A241:J564,10,0)</f>
        <v>500G</v>
      </c>
    </row>
    <row r="242" spans="1:14" x14ac:dyDescent="0.2">
      <c r="A242" s="3" t="s">
        <v>315</v>
      </c>
      <c r="B242" s="3" t="s">
        <v>625</v>
      </c>
      <c r="C242" s="4">
        <v>17552</v>
      </c>
      <c r="D242" s="4" t="s">
        <v>689</v>
      </c>
      <c r="E242" s="4" t="s">
        <v>1202</v>
      </c>
      <c r="F242" s="27" t="str">
        <f>VLOOKUP(B242,Sheet5!A242:J565,2,0)</f>
        <v>笔记本电脑</v>
      </c>
      <c r="G242" s="27" t="str">
        <f>VLOOKUP(B242,Sheet5!A242:J565,3,0)</f>
        <v>ThinkPad</v>
      </c>
      <c r="H242" s="27" t="str">
        <f>VLOOKUP(B242,Sheet5!A242:J565,4,0)</f>
        <v>X240</v>
      </c>
      <c r="I242" s="27" t="str">
        <f>VLOOKUP(B242,Sheet5!A242:J565,5,0)</f>
        <v>115.00</v>
      </c>
      <c r="J242" s="27" t="str">
        <f>VLOOKUP(B242,Sheet5!A242:J565,6,0)</f>
        <v>2018/04/20</v>
      </c>
      <c r="K242" s="27" t="str">
        <f>VLOOKUP(B242,Sheet5!A242:J565,7,0)</f>
        <v>易点租</v>
      </c>
      <c r="L242" s="27" t="str">
        <f>VLOOKUP(B242,Sheet5!A242:J565,8,0)</f>
        <v>i5</v>
      </c>
      <c r="M242" s="27" t="str">
        <f>VLOOKUP(B242,Sheet5!A242:J565,9,0)</f>
        <v>8G</v>
      </c>
      <c r="N242" s="27" t="str">
        <f>VLOOKUP(B242,Sheet5!A242:J565,10,0)</f>
        <v>500G</v>
      </c>
    </row>
    <row r="243" spans="1:14" x14ac:dyDescent="0.2">
      <c r="A243" s="3" t="s">
        <v>316</v>
      </c>
      <c r="B243" s="3" t="s">
        <v>626</v>
      </c>
      <c r="C243" s="4">
        <v>3521</v>
      </c>
      <c r="D243" s="4" t="s">
        <v>689</v>
      </c>
      <c r="E243" s="4" t="s">
        <v>1202</v>
      </c>
      <c r="F243" s="27" t="e">
        <f>VLOOKUP(B243,Sheet5!A243:J566,2,0)</f>
        <v>#N/A</v>
      </c>
      <c r="G243" s="27" t="e">
        <f>VLOOKUP(B243,Sheet5!A243:J566,3,0)</f>
        <v>#N/A</v>
      </c>
      <c r="H243" s="27" t="e">
        <f>VLOOKUP(B243,Sheet5!A243:J566,4,0)</f>
        <v>#N/A</v>
      </c>
      <c r="I243" s="27" t="e">
        <f>VLOOKUP(B243,Sheet5!A243:J566,5,0)</f>
        <v>#N/A</v>
      </c>
      <c r="J243" s="27" t="e">
        <f>VLOOKUP(B243,Sheet5!A243:J566,6,0)</f>
        <v>#N/A</v>
      </c>
      <c r="K243" s="27" t="e">
        <f>VLOOKUP(B243,Sheet5!A243:J566,7,0)</f>
        <v>#N/A</v>
      </c>
      <c r="L243" s="27" t="e">
        <f>VLOOKUP(B243,Sheet5!A243:J566,8,0)</f>
        <v>#N/A</v>
      </c>
      <c r="M243" s="27" t="e">
        <f>VLOOKUP(B243,Sheet5!A243:J566,9,0)</f>
        <v>#N/A</v>
      </c>
      <c r="N243" s="27" t="e">
        <f>VLOOKUP(B243,Sheet5!A243:J566,10,0)</f>
        <v>#N/A</v>
      </c>
    </row>
    <row r="244" spans="1:14" x14ac:dyDescent="0.2">
      <c r="A244" s="3" t="s">
        <v>317</v>
      </c>
      <c r="B244" s="3" t="s">
        <v>627</v>
      </c>
      <c r="C244" s="4">
        <v>18198</v>
      </c>
      <c r="D244" s="4" t="s">
        <v>689</v>
      </c>
      <c r="E244" s="4" t="s">
        <v>1202</v>
      </c>
      <c r="F244" s="27" t="e">
        <f>VLOOKUP(B244,Sheet5!A244:J567,2,0)</f>
        <v>#N/A</v>
      </c>
      <c r="G244" s="27" t="e">
        <f>VLOOKUP(B244,Sheet5!A244:J567,3,0)</f>
        <v>#N/A</v>
      </c>
      <c r="H244" s="27" t="e">
        <f>VLOOKUP(B244,Sheet5!A244:J567,4,0)</f>
        <v>#N/A</v>
      </c>
      <c r="I244" s="27" t="e">
        <f>VLOOKUP(B244,Sheet5!A244:J567,5,0)</f>
        <v>#N/A</v>
      </c>
      <c r="J244" s="27" t="e">
        <f>VLOOKUP(B244,Sheet5!A244:J567,6,0)</f>
        <v>#N/A</v>
      </c>
      <c r="K244" s="27" t="e">
        <f>VLOOKUP(B244,Sheet5!A244:J567,7,0)</f>
        <v>#N/A</v>
      </c>
      <c r="L244" s="27" t="e">
        <f>VLOOKUP(B244,Sheet5!A244:J567,8,0)</f>
        <v>#N/A</v>
      </c>
      <c r="M244" s="27" t="e">
        <f>VLOOKUP(B244,Sheet5!A244:J567,9,0)</f>
        <v>#N/A</v>
      </c>
      <c r="N244" s="27" t="e">
        <f>VLOOKUP(B244,Sheet5!A244:J567,10,0)</f>
        <v>#N/A</v>
      </c>
    </row>
    <row r="245" spans="1:14" x14ac:dyDescent="0.2">
      <c r="A245" s="3" t="s">
        <v>318</v>
      </c>
      <c r="B245" s="3" t="s">
        <v>628</v>
      </c>
      <c r="C245" s="4">
        <v>17426</v>
      </c>
      <c r="D245" s="4" t="s">
        <v>689</v>
      </c>
      <c r="E245" s="4" t="s">
        <v>1202</v>
      </c>
      <c r="F245" s="27" t="e">
        <f>VLOOKUP(B245,Sheet5!A245:J568,2,0)</f>
        <v>#N/A</v>
      </c>
      <c r="G245" s="27" t="e">
        <f>VLOOKUP(B245,Sheet5!A245:J568,3,0)</f>
        <v>#N/A</v>
      </c>
      <c r="H245" s="27" t="e">
        <f>VLOOKUP(B245,Sheet5!A245:J568,4,0)</f>
        <v>#N/A</v>
      </c>
      <c r="I245" s="27" t="e">
        <f>VLOOKUP(B245,Sheet5!A245:J568,5,0)</f>
        <v>#N/A</v>
      </c>
      <c r="J245" s="27" t="e">
        <f>VLOOKUP(B245,Sheet5!A245:J568,6,0)</f>
        <v>#N/A</v>
      </c>
      <c r="K245" s="27" t="e">
        <f>VLOOKUP(B245,Sheet5!A245:J568,7,0)</f>
        <v>#N/A</v>
      </c>
      <c r="L245" s="27" t="e">
        <f>VLOOKUP(B245,Sheet5!A245:J568,8,0)</f>
        <v>#N/A</v>
      </c>
      <c r="M245" s="27" t="e">
        <f>VLOOKUP(B245,Sheet5!A245:J568,9,0)</f>
        <v>#N/A</v>
      </c>
      <c r="N245" s="27" t="e">
        <f>VLOOKUP(B245,Sheet5!A245:J568,10,0)</f>
        <v>#N/A</v>
      </c>
    </row>
    <row r="246" spans="1:14" x14ac:dyDescent="0.2">
      <c r="A246" s="3" t="s">
        <v>319</v>
      </c>
      <c r="B246" s="3" t="s">
        <v>629</v>
      </c>
      <c r="C246" s="4">
        <v>9930</v>
      </c>
      <c r="D246" s="4" t="s">
        <v>689</v>
      </c>
      <c r="E246" s="4" t="s">
        <v>1202</v>
      </c>
      <c r="F246" s="27" t="e">
        <f>VLOOKUP(B246,Sheet5!A246:J569,2,0)</f>
        <v>#N/A</v>
      </c>
      <c r="G246" s="27" t="e">
        <f>VLOOKUP(B246,Sheet5!A246:J569,3,0)</f>
        <v>#N/A</v>
      </c>
      <c r="H246" s="27" t="e">
        <f>VLOOKUP(B246,Sheet5!A246:J569,4,0)</f>
        <v>#N/A</v>
      </c>
      <c r="I246" s="27" t="e">
        <f>VLOOKUP(B246,Sheet5!A246:J569,5,0)</f>
        <v>#N/A</v>
      </c>
      <c r="J246" s="27" t="e">
        <f>VLOOKUP(B246,Sheet5!A246:J569,6,0)</f>
        <v>#N/A</v>
      </c>
      <c r="K246" s="27" t="e">
        <f>VLOOKUP(B246,Sheet5!A246:J569,7,0)</f>
        <v>#N/A</v>
      </c>
      <c r="L246" s="27" t="e">
        <f>VLOOKUP(B246,Sheet5!A246:J569,8,0)</f>
        <v>#N/A</v>
      </c>
      <c r="M246" s="27" t="e">
        <f>VLOOKUP(B246,Sheet5!A246:J569,9,0)</f>
        <v>#N/A</v>
      </c>
      <c r="N246" s="27" t="e">
        <f>VLOOKUP(B246,Sheet5!A246:J569,10,0)</f>
        <v>#N/A</v>
      </c>
    </row>
    <row r="247" spans="1:14" x14ac:dyDescent="0.2">
      <c r="A247" s="3" t="s">
        <v>320</v>
      </c>
      <c r="B247" s="3" t="s">
        <v>630</v>
      </c>
      <c r="C247" s="4">
        <v>12423</v>
      </c>
      <c r="D247" s="4" t="s">
        <v>689</v>
      </c>
      <c r="E247" s="4" t="s">
        <v>1202</v>
      </c>
      <c r="F247" s="27" t="e">
        <f>VLOOKUP(B247,Sheet5!A247:J570,2,0)</f>
        <v>#N/A</v>
      </c>
      <c r="G247" s="27" t="e">
        <f>VLOOKUP(B247,Sheet5!A247:J570,3,0)</f>
        <v>#N/A</v>
      </c>
      <c r="H247" s="27" t="e">
        <f>VLOOKUP(B247,Sheet5!A247:J570,4,0)</f>
        <v>#N/A</v>
      </c>
      <c r="I247" s="27" t="e">
        <f>VLOOKUP(B247,Sheet5!A247:J570,5,0)</f>
        <v>#N/A</v>
      </c>
      <c r="J247" s="27" t="e">
        <f>VLOOKUP(B247,Sheet5!A247:J570,6,0)</f>
        <v>#N/A</v>
      </c>
      <c r="K247" s="27" t="e">
        <f>VLOOKUP(B247,Sheet5!A247:J570,7,0)</f>
        <v>#N/A</v>
      </c>
      <c r="L247" s="27" t="e">
        <f>VLOOKUP(B247,Sheet5!A247:J570,8,0)</f>
        <v>#N/A</v>
      </c>
      <c r="M247" s="27" t="e">
        <f>VLOOKUP(B247,Sheet5!A247:J570,9,0)</f>
        <v>#N/A</v>
      </c>
      <c r="N247" s="27" t="e">
        <f>VLOOKUP(B247,Sheet5!A247:J570,10,0)</f>
        <v>#N/A</v>
      </c>
    </row>
    <row r="248" spans="1:14" x14ac:dyDescent="0.2">
      <c r="A248" s="3" t="s">
        <v>321</v>
      </c>
      <c r="B248" s="3" t="s">
        <v>631</v>
      </c>
      <c r="C248" s="4">
        <v>20010</v>
      </c>
      <c r="D248" s="4" t="s">
        <v>689</v>
      </c>
      <c r="E248" s="4" t="s">
        <v>1202</v>
      </c>
      <c r="F248" s="27" t="e">
        <f>VLOOKUP(B248,Sheet5!A248:J571,2,0)</f>
        <v>#N/A</v>
      </c>
      <c r="G248" s="27" t="e">
        <f>VLOOKUP(B248,Sheet5!A248:J571,3,0)</f>
        <v>#N/A</v>
      </c>
      <c r="H248" s="27" t="e">
        <f>VLOOKUP(B248,Sheet5!A248:J571,4,0)</f>
        <v>#N/A</v>
      </c>
      <c r="I248" s="27" t="e">
        <f>VLOOKUP(B248,Sheet5!A248:J571,5,0)</f>
        <v>#N/A</v>
      </c>
      <c r="J248" s="27" t="e">
        <f>VLOOKUP(B248,Sheet5!A248:J571,6,0)</f>
        <v>#N/A</v>
      </c>
      <c r="K248" s="27" t="e">
        <f>VLOOKUP(B248,Sheet5!A248:J571,7,0)</f>
        <v>#N/A</v>
      </c>
      <c r="L248" s="27" t="e">
        <f>VLOOKUP(B248,Sheet5!A248:J571,8,0)</f>
        <v>#N/A</v>
      </c>
      <c r="M248" s="27" t="e">
        <f>VLOOKUP(B248,Sheet5!A248:J571,9,0)</f>
        <v>#N/A</v>
      </c>
      <c r="N248" s="27" t="e">
        <f>VLOOKUP(B248,Sheet5!A248:J571,10,0)</f>
        <v>#N/A</v>
      </c>
    </row>
    <row r="249" spans="1:14" x14ac:dyDescent="0.2">
      <c r="A249" s="3" t="s">
        <v>322</v>
      </c>
      <c r="B249" s="3" t="s">
        <v>632</v>
      </c>
      <c r="C249" s="4">
        <v>2522</v>
      </c>
      <c r="D249" s="4" t="s">
        <v>689</v>
      </c>
      <c r="E249" s="4" t="s">
        <v>1202</v>
      </c>
      <c r="F249" s="27" t="e">
        <f>VLOOKUP(B249,Sheet5!A249:J572,2,0)</f>
        <v>#N/A</v>
      </c>
      <c r="G249" s="27" t="e">
        <f>VLOOKUP(B249,Sheet5!A249:J572,3,0)</f>
        <v>#N/A</v>
      </c>
      <c r="H249" s="27" t="e">
        <f>VLOOKUP(B249,Sheet5!A249:J572,4,0)</f>
        <v>#N/A</v>
      </c>
      <c r="I249" s="27" t="e">
        <f>VLOOKUP(B249,Sheet5!A249:J572,5,0)</f>
        <v>#N/A</v>
      </c>
      <c r="J249" s="27" t="e">
        <f>VLOOKUP(B249,Sheet5!A249:J572,6,0)</f>
        <v>#N/A</v>
      </c>
      <c r="K249" s="27" t="e">
        <f>VLOOKUP(B249,Sheet5!A249:J572,7,0)</f>
        <v>#N/A</v>
      </c>
      <c r="L249" s="27" t="e">
        <f>VLOOKUP(B249,Sheet5!A249:J572,8,0)</f>
        <v>#N/A</v>
      </c>
      <c r="M249" s="27" t="e">
        <f>VLOOKUP(B249,Sheet5!A249:J572,9,0)</f>
        <v>#N/A</v>
      </c>
      <c r="N249" s="27" t="e">
        <f>VLOOKUP(B249,Sheet5!A249:J572,10,0)</f>
        <v>#N/A</v>
      </c>
    </row>
    <row r="250" spans="1:14" x14ac:dyDescent="0.2">
      <c r="A250" s="3" t="s">
        <v>320</v>
      </c>
      <c r="B250" s="3" t="s">
        <v>633</v>
      </c>
      <c r="C250" s="4">
        <v>12423</v>
      </c>
      <c r="D250" s="4" t="s">
        <v>689</v>
      </c>
      <c r="E250" s="4" t="s">
        <v>1202</v>
      </c>
      <c r="F250" s="27" t="e">
        <f>VLOOKUP(B250,Sheet5!A250:J573,2,0)</f>
        <v>#N/A</v>
      </c>
      <c r="G250" s="27" t="e">
        <f>VLOOKUP(B250,Sheet5!A250:J573,3,0)</f>
        <v>#N/A</v>
      </c>
      <c r="H250" s="27" t="e">
        <f>VLOOKUP(B250,Sheet5!A250:J573,4,0)</f>
        <v>#N/A</v>
      </c>
      <c r="I250" s="27" t="e">
        <f>VLOOKUP(B250,Sheet5!A250:J573,5,0)</f>
        <v>#N/A</v>
      </c>
      <c r="J250" s="27" t="e">
        <f>VLOOKUP(B250,Sheet5!A250:J573,6,0)</f>
        <v>#N/A</v>
      </c>
      <c r="K250" s="27" t="e">
        <f>VLOOKUP(B250,Sheet5!A250:J573,7,0)</f>
        <v>#N/A</v>
      </c>
      <c r="L250" s="27" t="e">
        <f>VLOOKUP(B250,Sheet5!A250:J573,8,0)</f>
        <v>#N/A</v>
      </c>
      <c r="M250" s="27" t="e">
        <f>VLOOKUP(B250,Sheet5!A250:J573,9,0)</f>
        <v>#N/A</v>
      </c>
      <c r="N250" s="27" t="e">
        <f>VLOOKUP(B250,Sheet5!A250:J573,10,0)</f>
        <v>#N/A</v>
      </c>
    </row>
    <row r="251" spans="1:14" x14ac:dyDescent="0.2">
      <c r="A251" s="3" t="s">
        <v>323</v>
      </c>
      <c r="B251" s="3" t="s">
        <v>634</v>
      </c>
      <c r="C251" s="4">
        <v>20723</v>
      </c>
      <c r="D251" s="4" t="s">
        <v>689</v>
      </c>
      <c r="E251" s="4" t="s">
        <v>1202</v>
      </c>
      <c r="F251" s="27" t="str">
        <f>VLOOKUP(B251,Sheet5!A251:J574,2,0)</f>
        <v>笔记本电脑</v>
      </c>
      <c r="G251" s="27" t="str">
        <f>VLOOKUP(B251,Sheet5!A251:J574,3,0)</f>
        <v>ThinkPad</v>
      </c>
      <c r="H251" s="27" t="str">
        <f>VLOOKUP(B251,Sheet5!A251:J574,4,0)</f>
        <v>X240</v>
      </c>
      <c r="I251" s="27" t="str">
        <f>VLOOKUP(B251,Sheet5!A251:J574,5,0)</f>
        <v>113.00</v>
      </c>
      <c r="J251" s="27" t="str">
        <f>VLOOKUP(B251,Sheet5!A251:J574,6,0)</f>
        <v>2018/05/27</v>
      </c>
      <c r="K251" s="27" t="str">
        <f>VLOOKUP(B251,Sheet5!A251:J574,7,0)</f>
        <v>易点租</v>
      </c>
      <c r="L251" s="27" t="str">
        <f>VLOOKUP(B251,Sheet5!A251:J574,8,0)</f>
        <v>i5</v>
      </c>
      <c r="M251" s="27" t="str">
        <f>VLOOKUP(B251,Sheet5!A251:J574,9,0)</f>
        <v>8G</v>
      </c>
      <c r="N251" s="27" t="str">
        <f>VLOOKUP(B251,Sheet5!A251:J574,10,0)</f>
        <v>500G</v>
      </c>
    </row>
    <row r="252" spans="1:14" x14ac:dyDescent="0.2">
      <c r="A252" s="3" t="s">
        <v>324</v>
      </c>
      <c r="B252" s="3" t="s">
        <v>635</v>
      </c>
      <c r="C252" s="4">
        <v>21178</v>
      </c>
      <c r="D252" s="4" t="s">
        <v>689</v>
      </c>
      <c r="E252" s="4" t="s">
        <v>1202</v>
      </c>
      <c r="F252" s="27" t="str">
        <f>VLOOKUP(B252,Sheet5!A252:J575,2,0)</f>
        <v>笔记本电脑</v>
      </c>
      <c r="G252" s="27" t="str">
        <f>VLOOKUP(B252,Sheet5!A252:J575,3,0)</f>
        <v>ThinkPad</v>
      </c>
      <c r="H252" s="27" t="str">
        <f>VLOOKUP(B252,Sheet5!A252:J575,4,0)</f>
        <v>X240</v>
      </c>
      <c r="I252" s="27" t="str">
        <f>VLOOKUP(B252,Sheet5!A252:J575,5,0)</f>
        <v>113.00</v>
      </c>
      <c r="J252" s="27" t="str">
        <f>VLOOKUP(B252,Sheet5!A252:J575,6,0)</f>
        <v>2018/05/27</v>
      </c>
      <c r="K252" s="27" t="str">
        <f>VLOOKUP(B252,Sheet5!A252:J575,7,0)</f>
        <v>易点租</v>
      </c>
      <c r="L252" s="27" t="str">
        <f>VLOOKUP(B252,Sheet5!A252:J575,8,0)</f>
        <v>i5</v>
      </c>
      <c r="M252" s="27" t="str">
        <f>VLOOKUP(B252,Sheet5!A252:J575,9,0)</f>
        <v>8G</v>
      </c>
      <c r="N252" s="27" t="str">
        <f>VLOOKUP(B252,Sheet5!A252:J575,10,0)</f>
        <v>500G</v>
      </c>
    </row>
    <row r="253" spans="1:14" x14ac:dyDescent="0.2">
      <c r="A253" s="3" t="s">
        <v>325</v>
      </c>
      <c r="B253" s="3" t="s">
        <v>636</v>
      </c>
      <c r="C253" s="4">
        <v>20651</v>
      </c>
      <c r="D253" s="4" t="s">
        <v>689</v>
      </c>
      <c r="E253" s="4" t="s">
        <v>1202</v>
      </c>
      <c r="F253" s="27" t="str">
        <f>VLOOKUP(B253,Sheet5!A253:J576,2,0)</f>
        <v>笔记本电脑</v>
      </c>
      <c r="G253" s="27" t="str">
        <f>VLOOKUP(B253,Sheet5!A253:J576,3,0)</f>
        <v>ThinkPad</v>
      </c>
      <c r="H253" s="27" t="str">
        <f>VLOOKUP(B253,Sheet5!A253:J576,4,0)</f>
        <v>X240</v>
      </c>
      <c r="I253" s="27" t="str">
        <f>VLOOKUP(B253,Sheet5!A253:J576,5,0)</f>
        <v>113.00</v>
      </c>
      <c r="J253" s="27" t="str">
        <f>VLOOKUP(B253,Sheet5!A253:J576,6,0)</f>
        <v>2018/05/27</v>
      </c>
      <c r="K253" s="27" t="str">
        <f>VLOOKUP(B253,Sheet5!A253:J576,7,0)</f>
        <v>易点租</v>
      </c>
      <c r="L253" s="27" t="str">
        <f>VLOOKUP(B253,Sheet5!A253:J576,8,0)</f>
        <v>i5</v>
      </c>
      <c r="M253" s="27" t="str">
        <f>VLOOKUP(B253,Sheet5!A253:J576,9,0)</f>
        <v>8G</v>
      </c>
      <c r="N253" s="27" t="str">
        <f>VLOOKUP(B253,Sheet5!A253:J576,10,0)</f>
        <v>500G</v>
      </c>
    </row>
    <row r="254" spans="1:14" x14ac:dyDescent="0.2">
      <c r="A254" s="3" t="s">
        <v>1187</v>
      </c>
      <c r="B254" s="3" t="s">
        <v>224</v>
      </c>
      <c r="C254" s="3" t="s">
        <v>1186</v>
      </c>
      <c r="D254" s="4" t="s">
        <v>689</v>
      </c>
      <c r="E254" s="4" t="s">
        <v>1202</v>
      </c>
      <c r="F254" s="27" t="e">
        <f>VLOOKUP(B254,Sheet5!A254:J577,2,0)</f>
        <v>#N/A</v>
      </c>
      <c r="G254" s="27" t="e">
        <f>VLOOKUP(B254,Sheet5!A254:J577,3,0)</f>
        <v>#N/A</v>
      </c>
      <c r="H254" s="27" t="e">
        <f>VLOOKUP(B254,Sheet5!A254:J577,4,0)</f>
        <v>#N/A</v>
      </c>
      <c r="I254" s="27" t="e">
        <f>VLOOKUP(B254,Sheet5!A254:J577,5,0)</f>
        <v>#N/A</v>
      </c>
      <c r="J254" s="27" t="e">
        <f>VLOOKUP(B254,Sheet5!A254:J577,6,0)</f>
        <v>#N/A</v>
      </c>
      <c r="K254" s="27" t="e">
        <f>VLOOKUP(B254,Sheet5!A254:J577,7,0)</f>
        <v>#N/A</v>
      </c>
      <c r="L254" s="27" t="e">
        <f>VLOOKUP(B254,Sheet5!A254:J577,8,0)</f>
        <v>#N/A</v>
      </c>
      <c r="M254" s="27" t="e">
        <f>VLOOKUP(B254,Sheet5!A254:J577,9,0)</f>
        <v>#N/A</v>
      </c>
      <c r="N254" s="27" t="e">
        <f>VLOOKUP(B254,Sheet5!A254:J577,10,0)</f>
        <v>#N/A</v>
      </c>
    </row>
    <row r="255" spans="1:14" x14ac:dyDescent="0.2">
      <c r="A255" s="3" t="s">
        <v>326</v>
      </c>
      <c r="B255" s="3" t="s">
        <v>637</v>
      </c>
      <c r="C255" s="4">
        <v>214</v>
      </c>
      <c r="D255" s="4" t="s">
        <v>689</v>
      </c>
      <c r="E255" s="4" t="s">
        <v>1203</v>
      </c>
      <c r="F255" s="27" t="e">
        <f>VLOOKUP(B255,Sheet5!A255:J578,2,0)</f>
        <v>#N/A</v>
      </c>
      <c r="G255" s="27" t="e">
        <f>VLOOKUP(B255,Sheet5!A255:J578,3,0)</f>
        <v>#N/A</v>
      </c>
      <c r="H255" s="27" t="e">
        <f>VLOOKUP(B255,Sheet5!A255:J578,4,0)</f>
        <v>#N/A</v>
      </c>
      <c r="I255" s="27" t="e">
        <f>VLOOKUP(B255,Sheet5!A255:J578,5,0)</f>
        <v>#N/A</v>
      </c>
      <c r="J255" s="27" t="e">
        <f>VLOOKUP(B255,Sheet5!A255:J578,6,0)</f>
        <v>#N/A</v>
      </c>
      <c r="K255" s="27" t="e">
        <f>VLOOKUP(B255,Sheet5!A255:J578,7,0)</f>
        <v>#N/A</v>
      </c>
      <c r="L255" s="27" t="e">
        <f>VLOOKUP(B255,Sheet5!A255:J578,8,0)</f>
        <v>#N/A</v>
      </c>
      <c r="M255" s="27" t="e">
        <f>VLOOKUP(B255,Sheet5!A255:J578,9,0)</f>
        <v>#N/A</v>
      </c>
      <c r="N255" s="27" t="e">
        <f>VLOOKUP(B255,Sheet5!A255:J578,10,0)</f>
        <v>#N/A</v>
      </c>
    </row>
    <row r="256" spans="1:14" x14ac:dyDescent="0.2">
      <c r="A256" s="3" t="s">
        <v>327</v>
      </c>
      <c r="B256" s="3" t="s">
        <v>638</v>
      </c>
      <c r="C256" s="4">
        <v>19706</v>
      </c>
      <c r="D256" s="4" t="s">
        <v>689</v>
      </c>
      <c r="E256" s="4" t="s">
        <v>1203</v>
      </c>
      <c r="F256" s="27" t="e">
        <f>VLOOKUP(B256,Sheet5!A256:J579,2,0)</f>
        <v>#N/A</v>
      </c>
      <c r="G256" s="27" t="e">
        <f>VLOOKUP(B256,Sheet5!A256:J579,3,0)</f>
        <v>#N/A</v>
      </c>
      <c r="H256" s="27" t="e">
        <f>VLOOKUP(B256,Sheet5!A256:J579,4,0)</f>
        <v>#N/A</v>
      </c>
      <c r="I256" s="27" t="e">
        <f>VLOOKUP(B256,Sheet5!A256:J579,5,0)</f>
        <v>#N/A</v>
      </c>
      <c r="J256" s="27" t="e">
        <f>VLOOKUP(B256,Sheet5!A256:J579,6,0)</f>
        <v>#N/A</v>
      </c>
      <c r="K256" s="27" t="e">
        <f>VLOOKUP(B256,Sheet5!A256:J579,7,0)</f>
        <v>#N/A</v>
      </c>
      <c r="L256" s="27" t="e">
        <f>VLOOKUP(B256,Sheet5!A256:J579,8,0)</f>
        <v>#N/A</v>
      </c>
      <c r="M256" s="27" t="e">
        <f>VLOOKUP(B256,Sheet5!A256:J579,9,0)</f>
        <v>#N/A</v>
      </c>
      <c r="N256" s="27" t="e">
        <f>VLOOKUP(B256,Sheet5!A256:J579,10,0)</f>
        <v>#N/A</v>
      </c>
    </row>
    <row r="257" spans="1:14" x14ac:dyDescent="0.2">
      <c r="A257" s="3" t="s">
        <v>328</v>
      </c>
      <c r="B257" s="3" t="s">
        <v>639</v>
      </c>
      <c r="C257" s="4">
        <v>6657</v>
      </c>
      <c r="D257" s="4" t="s">
        <v>689</v>
      </c>
      <c r="E257" s="4" t="s">
        <v>1203</v>
      </c>
      <c r="F257" s="27" t="e">
        <f>VLOOKUP(B257,Sheet5!A257:J580,2,0)</f>
        <v>#N/A</v>
      </c>
      <c r="G257" s="27" t="e">
        <f>VLOOKUP(B257,Sheet5!A257:J580,3,0)</f>
        <v>#N/A</v>
      </c>
      <c r="H257" s="27" t="e">
        <f>VLOOKUP(B257,Sheet5!A257:J580,4,0)</f>
        <v>#N/A</v>
      </c>
      <c r="I257" s="27" t="e">
        <f>VLOOKUP(B257,Sheet5!A257:J580,5,0)</f>
        <v>#N/A</v>
      </c>
      <c r="J257" s="27" t="e">
        <f>VLOOKUP(B257,Sheet5!A257:J580,6,0)</f>
        <v>#N/A</v>
      </c>
      <c r="K257" s="27" t="e">
        <f>VLOOKUP(B257,Sheet5!A257:J580,7,0)</f>
        <v>#N/A</v>
      </c>
      <c r="L257" s="27" t="e">
        <f>VLOOKUP(B257,Sheet5!A257:J580,8,0)</f>
        <v>#N/A</v>
      </c>
      <c r="M257" s="27" t="e">
        <f>VLOOKUP(B257,Sheet5!A257:J580,9,0)</f>
        <v>#N/A</v>
      </c>
      <c r="N257" s="27" t="e">
        <f>VLOOKUP(B257,Sheet5!A257:J580,10,0)</f>
        <v>#N/A</v>
      </c>
    </row>
    <row r="258" spans="1:14" x14ac:dyDescent="0.2">
      <c r="A258" s="3" t="s">
        <v>329</v>
      </c>
      <c r="B258" s="3" t="s">
        <v>640</v>
      </c>
      <c r="C258" s="4">
        <v>8334</v>
      </c>
      <c r="D258" s="4" t="s">
        <v>689</v>
      </c>
      <c r="E258" s="4" t="s">
        <v>1203</v>
      </c>
      <c r="F258" s="27" t="e">
        <f>VLOOKUP(B258,Sheet5!A258:J581,2,0)</f>
        <v>#N/A</v>
      </c>
      <c r="G258" s="27" t="e">
        <f>VLOOKUP(B258,Sheet5!A258:J581,3,0)</f>
        <v>#N/A</v>
      </c>
      <c r="H258" s="27" t="e">
        <f>VLOOKUP(B258,Sheet5!A258:J581,4,0)</f>
        <v>#N/A</v>
      </c>
      <c r="I258" s="27" t="e">
        <f>VLOOKUP(B258,Sheet5!A258:J581,5,0)</f>
        <v>#N/A</v>
      </c>
      <c r="J258" s="27" t="e">
        <f>VLOOKUP(B258,Sheet5!A258:J581,6,0)</f>
        <v>#N/A</v>
      </c>
      <c r="K258" s="27" t="e">
        <f>VLOOKUP(B258,Sheet5!A258:J581,7,0)</f>
        <v>#N/A</v>
      </c>
      <c r="L258" s="27" t="e">
        <f>VLOOKUP(B258,Sheet5!A258:J581,8,0)</f>
        <v>#N/A</v>
      </c>
      <c r="M258" s="27" t="e">
        <f>VLOOKUP(B258,Sheet5!A258:J581,9,0)</f>
        <v>#N/A</v>
      </c>
      <c r="N258" s="27" t="e">
        <f>VLOOKUP(B258,Sheet5!A258:J581,10,0)</f>
        <v>#N/A</v>
      </c>
    </row>
    <row r="259" spans="1:14" x14ac:dyDescent="0.2">
      <c r="A259" s="3" t="s">
        <v>330</v>
      </c>
      <c r="B259" s="9" t="s">
        <v>641</v>
      </c>
      <c r="C259" s="4">
        <v>7077</v>
      </c>
      <c r="D259" s="4" t="s">
        <v>689</v>
      </c>
      <c r="E259" s="4" t="s">
        <v>1204</v>
      </c>
      <c r="F259" s="27" t="e">
        <f>VLOOKUP(B259,Sheet5!A259:J582,2,0)</f>
        <v>#N/A</v>
      </c>
      <c r="G259" s="27" t="e">
        <f>VLOOKUP(B259,Sheet5!A259:J582,3,0)</f>
        <v>#N/A</v>
      </c>
      <c r="H259" s="27" t="e">
        <f>VLOOKUP(B259,Sheet5!A259:J582,4,0)</f>
        <v>#N/A</v>
      </c>
      <c r="I259" s="27" t="e">
        <f>VLOOKUP(B259,Sheet5!A259:J582,5,0)</f>
        <v>#N/A</v>
      </c>
      <c r="J259" s="27" t="e">
        <f>VLOOKUP(B259,Sheet5!A259:J582,6,0)</f>
        <v>#N/A</v>
      </c>
      <c r="K259" s="27" t="e">
        <f>VLOOKUP(B259,Sheet5!A259:J582,7,0)</f>
        <v>#N/A</v>
      </c>
      <c r="L259" s="27" t="e">
        <f>VLOOKUP(B259,Sheet5!A259:J582,8,0)</f>
        <v>#N/A</v>
      </c>
      <c r="M259" s="27" t="e">
        <f>VLOOKUP(B259,Sheet5!A259:J582,9,0)</f>
        <v>#N/A</v>
      </c>
      <c r="N259" s="27" t="e">
        <f>VLOOKUP(B259,Sheet5!A259:J582,10,0)</f>
        <v>#N/A</v>
      </c>
    </row>
    <row r="260" spans="1:14" x14ac:dyDescent="0.2">
      <c r="A260" s="3" t="s">
        <v>331</v>
      </c>
      <c r="B260" s="9" t="s">
        <v>642</v>
      </c>
      <c r="C260" s="4">
        <v>1695</v>
      </c>
      <c r="D260" s="4" t="s">
        <v>689</v>
      </c>
      <c r="E260" s="4" t="s">
        <v>1204</v>
      </c>
      <c r="F260" s="27" t="e">
        <f>VLOOKUP(B260,Sheet5!A260:J583,2,0)</f>
        <v>#N/A</v>
      </c>
      <c r="G260" s="27" t="e">
        <f>VLOOKUP(B260,Sheet5!A260:J583,3,0)</f>
        <v>#N/A</v>
      </c>
      <c r="H260" s="27" t="e">
        <f>VLOOKUP(B260,Sheet5!A260:J583,4,0)</f>
        <v>#N/A</v>
      </c>
      <c r="I260" s="27" t="e">
        <f>VLOOKUP(B260,Sheet5!A260:J583,5,0)</f>
        <v>#N/A</v>
      </c>
      <c r="J260" s="27" t="e">
        <f>VLOOKUP(B260,Sheet5!A260:J583,6,0)</f>
        <v>#N/A</v>
      </c>
      <c r="K260" s="27" t="e">
        <f>VLOOKUP(B260,Sheet5!A260:J583,7,0)</f>
        <v>#N/A</v>
      </c>
      <c r="L260" s="27" t="e">
        <f>VLOOKUP(B260,Sheet5!A260:J583,8,0)</f>
        <v>#N/A</v>
      </c>
      <c r="M260" s="27" t="e">
        <f>VLOOKUP(B260,Sheet5!A260:J583,9,0)</f>
        <v>#N/A</v>
      </c>
      <c r="N260" s="27" t="e">
        <f>VLOOKUP(B260,Sheet5!A260:J583,10,0)</f>
        <v>#N/A</v>
      </c>
    </row>
    <row r="261" spans="1:14" x14ac:dyDescent="0.2">
      <c r="A261" s="3" t="s">
        <v>332</v>
      </c>
      <c r="B261" s="9" t="s">
        <v>643</v>
      </c>
      <c r="C261" s="4">
        <v>7331</v>
      </c>
      <c r="D261" s="4" t="s">
        <v>689</v>
      </c>
      <c r="E261" s="4" t="s">
        <v>1204</v>
      </c>
      <c r="F261" s="27" t="e">
        <f>VLOOKUP(B261,Sheet5!A261:J584,2,0)</f>
        <v>#N/A</v>
      </c>
      <c r="G261" s="27" t="e">
        <f>VLOOKUP(B261,Sheet5!A261:J584,3,0)</f>
        <v>#N/A</v>
      </c>
      <c r="H261" s="27" t="e">
        <f>VLOOKUP(B261,Sheet5!A261:J584,4,0)</f>
        <v>#N/A</v>
      </c>
      <c r="I261" s="27" t="e">
        <f>VLOOKUP(B261,Sheet5!A261:J584,5,0)</f>
        <v>#N/A</v>
      </c>
      <c r="J261" s="27" t="e">
        <f>VLOOKUP(B261,Sheet5!A261:J584,6,0)</f>
        <v>#N/A</v>
      </c>
      <c r="K261" s="27" t="e">
        <f>VLOOKUP(B261,Sheet5!A261:J584,7,0)</f>
        <v>#N/A</v>
      </c>
      <c r="L261" s="27" t="e">
        <f>VLOOKUP(B261,Sheet5!A261:J584,8,0)</f>
        <v>#N/A</v>
      </c>
      <c r="M261" s="27" t="e">
        <f>VLOOKUP(B261,Sheet5!A261:J584,9,0)</f>
        <v>#N/A</v>
      </c>
      <c r="N261" s="27" t="e">
        <f>VLOOKUP(B261,Sheet5!A261:J584,10,0)</f>
        <v>#N/A</v>
      </c>
    </row>
    <row r="262" spans="1:14" x14ac:dyDescent="0.2">
      <c r="A262" s="3" t="s">
        <v>333</v>
      </c>
      <c r="B262" s="3" t="s">
        <v>334</v>
      </c>
      <c r="C262" s="4">
        <v>10327</v>
      </c>
      <c r="D262" s="4" t="s">
        <v>689</v>
      </c>
      <c r="E262" s="4" t="s">
        <v>1204</v>
      </c>
      <c r="F262" s="27" t="e">
        <f>VLOOKUP(B262,Sheet5!A262:J585,2,0)</f>
        <v>#N/A</v>
      </c>
      <c r="G262" s="27" t="e">
        <f>VLOOKUP(B262,Sheet5!A262:J585,3,0)</f>
        <v>#N/A</v>
      </c>
      <c r="H262" s="27" t="e">
        <f>VLOOKUP(B262,Sheet5!A262:J585,4,0)</f>
        <v>#N/A</v>
      </c>
      <c r="I262" s="27" t="e">
        <f>VLOOKUP(B262,Sheet5!A262:J585,5,0)</f>
        <v>#N/A</v>
      </c>
      <c r="J262" s="27" t="e">
        <f>VLOOKUP(B262,Sheet5!A262:J585,6,0)</f>
        <v>#N/A</v>
      </c>
      <c r="K262" s="27" t="e">
        <f>VLOOKUP(B262,Sheet5!A262:J585,7,0)</f>
        <v>#N/A</v>
      </c>
      <c r="L262" s="27" t="e">
        <f>VLOOKUP(B262,Sheet5!A262:J585,8,0)</f>
        <v>#N/A</v>
      </c>
      <c r="M262" s="27" t="e">
        <f>VLOOKUP(B262,Sheet5!A262:J585,9,0)</f>
        <v>#N/A</v>
      </c>
      <c r="N262" s="27" t="e">
        <f>VLOOKUP(B262,Sheet5!A262:J585,10,0)</f>
        <v>#N/A</v>
      </c>
    </row>
    <row r="263" spans="1:14" x14ac:dyDescent="0.2">
      <c r="A263" s="3" t="s">
        <v>335</v>
      </c>
      <c r="B263" s="3" t="s">
        <v>336</v>
      </c>
      <c r="C263" s="4">
        <v>8376</v>
      </c>
      <c r="D263" s="4" t="s">
        <v>689</v>
      </c>
      <c r="E263" s="4" t="s">
        <v>1204</v>
      </c>
      <c r="F263" s="27" t="e">
        <f>VLOOKUP(B263,Sheet5!A263:J586,2,0)</f>
        <v>#N/A</v>
      </c>
      <c r="G263" s="27" t="e">
        <f>VLOOKUP(B263,Sheet5!A263:J586,3,0)</f>
        <v>#N/A</v>
      </c>
      <c r="H263" s="27" t="e">
        <f>VLOOKUP(B263,Sheet5!A263:J586,4,0)</f>
        <v>#N/A</v>
      </c>
      <c r="I263" s="27" t="e">
        <f>VLOOKUP(B263,Sheet5!A263:J586,5,0)</f>
        <v>#N/A</v>
      </c>
      <c r="J263" s="27" t="e">
        <f>VLOOKUP(B263,Sheet5!A263:J586,6,0)</f>
        <v>#N/A</v>
      </c>
      <c r="K263" s="27" t="e">
        <f>VLOOKUP(B263,Sheet5!A263:J586,7,0)</f>
        <v>#N/A</v>
      </c>
      <c r="L263" s="27" t="e">
        <f>VLOOKUP(B263,Sheet5!A263:J586,8,0)</f>
        <v>#N/A</v>
      </c>
      <c r="M263" s="27" t="e">
        <f>VLOOKUP(B263,Sheet5!A263:J586,9,0)</f>
        <v>#N/A</v>
      </c>
      <c r="N263" s="27" t="e">
        <f>VLOOKUP(B263,Sheet5!A263:J586,10,0)</f>
        <v>#N/A</v>
      </c>
    </row>
    <row r="264" spans="1:14" x14ac:dyDescent="0.2">
      <c r="A264" s="3" t="s">
        <v>337</v>
      </c>
      <c r="B264" s="3" t="s">
        <v>338</v>
      </c>
      <c r="C264" s="4">
        <v>9240</v>
      </c>
      <c r="D264" s="4" t="s">
        <v>689</v>
      </c>
      <c r="E264" s="4" t="s">
        <v>1204</v>
      </c>
      <c r="F264" s="27" t="e">
        <f>VLOOKUP(B264,Sheet5!A264:J587,2,0)</f>
        <v>#N/A</v>
      </c>
      <c r="G264" s="27" t="e">
        <f>VLOOKUP(B264,Sheet5!A264:J587,3,0)</f>
        <v>#N/A</v>
      </c>
      <c r="H264" s="27" t="e">
        <f>VLOOKUP(B264,Sheet5!A264:J587,4,0)</f>
        <v>#N/A</v>
      </c>
      <c r="I264" s="27" t="e">
        <f>VLOOKUP(B264,Sheet5!A264:J587,5,0)</f>
        <v>#N/A</v>
      </c>
      <c r="J264" s="27" t="e">
        <f>VLOOKUP(B264,Sheet5!A264:J587,6,0)</f>
        <v>#N/A</v>
      </c>
      <c r="K264" s="27" t="e">
        <f>VLOOKUP(B264,Sheet5!A264:J587,7,0)</f>
        <v>#N/A</v>
      </c>
      <c r="L264" s="27" t="e">
        <f>VLOOKUP(B264,Sheet5!A264:J587,8,0)</f>
        <v>#N/A</v>
      </c>
      <c r="M264" s="27" t="e">
        <f>VLOOKUP(B264,Sheet5!A264:J587,9,0)</f>
        <v>#N/A</v>
      </c>
      <c r="N264" s="27" t="e">
        <f>VLOOKUP(B264,Sheet5!A264:J587,10,0)</f>
        <v>#N/A</v>
      </c>
    </row>
    <row r="265" spans="1:14" x14ac:dyDescent="0.2">
      <c r="A265" s="3" t="s">
        <v>339</v>
      </c>
      <c r="B265" s="3" t="s">
        <v>340</v>
      </c>
      <c r="C265" s="4">
        <v>20393</v>
      </c>
      <c r="D265" s="4" t="s">
        <v>689</v>
      </c>
      <c r="E265" s="4" t="s">
        <v>1204</v>
      </c>
      <c r="F265" s="27" t="e">
        <f>VLOOKUP(B265,Sheet5!A265:J588,2,0)</f>
        <v>#N/A</v>
      </c>
      <c r="G265" s="27" t="e">
        <f>VLOOKUP(B265,Sheet5!A265:J588,3,0)</f>
        <v>#N/A</v>
      </c>
      <c r="H265" s="27" t="e">
        <f>VLOOKUP(B265,Sheet5!A265:J588,4,0)</f>
        <v>#N/A</v>
      </c>
      <c r="I265" s="27" t="e">
        <f>VLOOKUP(B265,Sheet5!A265:J588,5,0)</f>
        <v>#N/A</v>
      </c>
      <c r="J265" s="27" t="e">
        <f>VLOOKUP(B265,Sheet5!A265:J588,6,0)</f>
        <v>#N/A</v>
      </c>
      <c r="K265" s="27" t="e">
        <f>VLOOKUP(B265,Sheet5!A265:J588,7,0)</f>
        <v>#N/A</v>
      </c>
      <c r="L265" s="27" t="e">
        <f>VLOOKUP(B265,Sheet5!A265:J588,8,0)</f>
        <v>#N/A</v>
      </c>
      <c r="M265" s="27" t="e">
        <f>VLOOKUP(B265,Sheet5!A265:J588,9,0)</f>
        <v>#N/A</v>
      </c>
      <c r="N265" s="27" t="e">
        <f>VLOOKUP(B265,Sheet5!A265:J588,10,0)</f>
        <v>#N/A</v>
      </c>
    </row>
    <row r="266" spans="1:14" x14ac:dyDescent="0.2">
      <c r="A266" s="3" t="s">
        <v>341</v>
      </c>
      <c r="B266" s="3" t="s">
        <v>342</v>
      </c>
      <c r="C266" s="4">
        <v>17050</v>
      </c>
      <c r="D266" s="4" t="s">
        <v>689</v>
      </c>
      <c r="E266" s="4" t="s">
        <v>1204</v>
      </c>
      <c r="F266" s="27" t="e">
        <f>VLOOKUP(B266,Sheet5!A266:J589,2,0)</f>
        <v>#N/A</v>
      </c>
      <c r="G266" s="27" t="e">
        <f>VLOOKUP(B266,Sheet5!A266:J589,3,0)</f>
        <v>#N/A</v>
      </c>
      <c r="H266" s="27" t="e">
        <f>VLOOKUP(B266,Sheet5!A266:J589,4,0)</f>
        <v>#N/A</v>
      </c>
      <c r="I266" s="27" t="e">
        <f>VLOOKUP(B266,Sheet5!A266:J589,5,0)</f>
        <v>#N/A</v>
      </c>
      <c r="J266" s="27" t="e">
        <f>VLOOKUP(B266,Sheet5!A266:J589,6,0)</f>
        <v>#N/A</v>
      </c>
      <c r="K266" s="27" t="e">
        <f>VLOOKUP(B266,Sheet5!A266:J589,7,0)</f>
        <v>#N/A</v>
      </c>
      <c r="L266" s="27" t="e">
        <f>VLOOKUP(B266,Sheet5!A266:J589,8,0)</f>
        <v>#N/A</v>
      </c>
      <c r="M266" s="27" t="e">
        <f>VLOOKUP(B266,Sheet5!A266:J589,9,0)</f>
        <v>#N/A</v>
      </c>
      <c r="N266" s="27" t="e">
        <f>VLOOKUP(B266,Sheet5!A266:J589,10,0)</f>
        <v>#N/A</v>
      </c>
    </row>
    <row r="267" spans="1:14" x14ac:dyDescent="0.2">
      <c r="A267" s="3" t="s">
        <v>343</v>
      </c>
      <c r="B267" s="3" t="s">
        <v>344</v>
      </c>
      <c r="C267" s="4">
        <v>11716</v>
      </c>
      <c r="D267" s="4" t="s">
        <v>689</v>
      </c>
      <c r="E267" s="4" t="s">
        <v>1204</v>
      </c>
      <c r="F267" s="27" t="e">
        <f>VLOOKUP(B267,Sheet5!A267:J590,2,0)</f>
        <v>#N/A</v>
      </c>
      <c r="G267" s="27" t="e">
        <f>VLOOKUP(B267,Sheet5!A267:J590,3,0)</f>
        <v>#N/A</v>
      </c>
      <c r="H267" s="27" t="e">
        <f>VLOOKUP(B267,Sheet5!A267:J590,4,0)</f>
        <v>#N/A</v>
      </c>
      <c r="I267" s="27" t="e">
        <f>VLOOKUP(B267,Sheet5!A267:J590,5,0)</f>
        <v>#N/A</v>
      </c>
      <c r="J267" s="27" t="e">
        <f>VLOOKUP(B267,Sheet5!A267:J590,6,0)</f>
        <v>#N/A</v>
      </c>
      <c r="K267" s="27" t="e">
        <f>VLOOKUP(B267,Sheet5!A267:J590,7,0)</f>
        <v>#N/A</v>
      </c>
      <c r="L267" s="27" t="e">
        <f>VLOOKUP(B267,Sheet5!A267:J590,8,0)</f>
        <v>#N/A</v>
      </c>
      <c r="M267" s="27" t="e">
        <f>VLOOKUP(B267,Sheet5!A267:J590,9,0)</f>
        <v>#N/A</v>
      </c>
      <c r="N267" s="27" t="e">
        <f>VLOOKUP(B267,Sheet5!A267:J590,10,0)</f>
        <v>#N/A</v>
      </c>
    </row>
    <row r="268" spans="1:14" x14ac:dyDescent="0.2">
      <c r="A268" s="3" t="s">
        <v>345</v>
      </c>
      <c r="B268" s="3" t="s">
        <v>644</v>
      </c>
      <c r="C268" s="4">
        <v>7348</v>
      </c>
      <c r="D268" s="4" t="s">
        <v>689</v>
      </c>
      <c r="E268" s="4" t="s">
        <v>1205</v>
      </c>
      <c r="F268" s="27" t="e">
        <f>VLOOKUP(B268,Sheet5!A268:J591,2,0)</f>
        <v>#N/A</v>
      </c>
      <c r="G268" s="27" t="e">
        <f>VLOOKUP(B268,Sheet5!A268:J591,3,0)</f>
        <v>#N/A</v>
      </c>
      <c r="H268" s="27" t="e">
        <f>VLOOKUP(B268,Sheet5!A268:J591,4,0)</f>
        <v>#N/A</v>
      </c>
      <c r="I268" s="27" t="e">
        <f>VLOOKUP(B268,Sheet5!A268:J591,5,0)</f>
        <v>#N/A</v>
      </c>
      <c r="J268" s="27" t="e">
        <f>VLOOKUP(B268,Sheet5!A268:J591,6,0)</f>
        <v>#N/A</v>
      </c>
      <c r="K268" s="27" t="e">
        <f>VLOOKUP(B268,Sheet5!A268:J591,7,0)</f>
        <v>#N/A</v>
      </c>
      <c r="L268" s="27" t="e">
        <f>VLOOKUP(B268,Sheet5!A268:J591,8,0)</f>
        <v>#N/A</v>
      </c>
      <c r="M268" s="27" t="e">
        <f>VLOOKUP(B268,Sheet5!A268:J591,9,0)</f>
        <v>#N/A</v>
      </c>
      <c r="N268" s="27" t="e">
        <f>VLOOKUP(B268,Sheet5!A268:J591,10,0)</f>
        <v>#N/A</v>
      </c>
    </row>
    <row r="269" spans="1:14" x14ac:dyDescent="0.2">
      <c r="A269" s="3" t="s">
        <v>346</v>
      </c>
      <c r="B269" s="3" t="s">
        <v>347</v>
      </c>
      <c r="C269" s="4">
        <v>9498</v>
      </c>
      <c r="D269" s="4" t="s">
        <v>689</v>
      </c>
      <c r="E269" s="4" t="s">
        <v>1205</v>
      </c>
      <c r="F269" s="27" t="e">
        <f>VLOOKUP(B269,Sheet5!A269:J592,2,0)</f>
        <v>#N/A</v>
      </c>
      <c r="G269" s="27" t="e">
        <f>VLOOKUP(B269,Sheet5!A269:J592,3,0)</f>
        <v>#N/A</v>
      </c>
      <c r="H269" s="27" t="e">
        <f>VLOOKUP(B269,Sheet5!A269:J592,4,0)</f>
        <v>#N/A</v>
      </c>
      <c r="I269" s="27" t="e">
        <f>VLOOKUP(B269,Sheet5!A269:J592,5,0)</f>
        <v>#N/A</v>
      </c>
      <c r="J269" s="27" t="e">
        <f>VLOOKUP(B269,Sheet5!A269:J592,6,0)</f>
        <v>#N/A</v>
      </c>
      <c r="K269" s="27" t="e">
        <f>VLOOKUP(B269,Sheet5!A269:J592,7,0)</f>
        <v>#N/A</v>
      </c>
      <c r="L269" s="27" t="e">
        <f>VLOOKUP(B269,Sheet5!A269:J592,8,0)</f>
        <v>#N/A</v>
      </c>
      <c r="M269" s="27" t="e">
        <f>VLOOKUP(B269,Sheet5!A269:J592,9,0)</f>
        <v>#N/A</v>
      </c>
      <c r="N269" s="27" t="e">
        <f>VLOOKUP(B269,Sheet5!A269:J592,10,0)</f>
        <v>#N/A</v>
      </c>
    </row>
    <row r="270" spans="1:14" x14ac:dyDescent="0.2">
      <c r="A270" s="3" t="s">
        <v>348</v>
      </c>
      <c r="B270" s="3" t="s">
        <v>645</v>
      </c>
      <c r="C270" s="4">
        <v>19920</v>
      </c>
      <c r="D270" s="4" t="s">
        <v>689</v>
      </c>
      <c r="E270" s="4" t="s">
        <v>1205</v>
      </c>
      <c r="F270" s="27" t="e">
        <f>VLOOKUP(B270,Sheet5!A270:J593,2,0)</f>
        <v>#N/A</v>
      </c>
      <c r="G270" s="27" t="e">
        <f>VLOOKUP(B270,Sheet5!A270:J593,3,0)</f>
        <v>#N/A</v>
      </c>
      <c r="H270" s="27" t="e">
        <f>VLOOKUP(B270,Sheet5!A270:J593,4,0)</f>
        <v>#N/A</v>
      </c>
      <c r="I270" s="27" t="e">
        <f>VLOOKUP(B270,Sheet5!A270:J593,5,0)</f>
        <v>#N/A</v>
      </c>
      <c r="J270" s="27" t="e">
        <f>VLOOKUP(B270,Sheet5!A270:J593,6,0)</f>
        <v>#N/A</v>
      </c>
      <c r="K270" s="27" t="e">
        <f>VLOOKUP(B270,Sheet5!A270:J593,7,0)</f>
        <v>#N/A</v>
      </c>
      <c r="L270" s="27" t="e">
        <f>VLOOKUP(B270,Sheet5!A270:J593,8,0)</f>
        <v>#N/A</v>
      </c>
      <c r="M270" s="27" t="e">
        <f>VLOOKUP(B270,Sheet5!A270:J593,9,0)</f>
        <v>#N/A</v>
      </c>
      <c r="N270" s="27" t="e">
        <f>VLOOKUP(B270,Sheet5!A270:J593,10,0)</f>
        <v>#N/A</v>
      </c>
    </row>
    <row r="271" spans="1:14" x14ac:dyDescent="0.2">
      <c r="A271" s="3" t="s">
        <v>349</v>
      </c>
      <c r="B271" s="3" t="s">
        <v>350</v>
      </c>
      <c r="C271" s="4">
        <v>20493</v>
      </c>
      <c r="D271" s="4" t="s">
        <v>689</v>
      </c>
      <c r="E271" s="4" t="s">
        <v>1205</v>
      </c>
      <c r="F271" s="27" t="e">
        <f>VLOOKUP(B271,Sheet5!A271:J594,2,0)</f>
        <v>#N/A</v>
      </c>
      <c r="G271" s="27" t="e">
        <f>VLOOKUP(B271,Sheet5!A271:J594,3,0)</f>
        <v>#N/A</v>
      </c>
      <c r="H271" s="27" t="e">
        <f>VLOOKUP(B271,Sheet5!A271:J594,4,0)</f>
        <v>#N/A</v>
      </c>
      <c r="I271" s="27" t="e">
        <f>VLOOKUP(B271,Sheet5!A271:J594,5,0)</f>
        <v>#N/A</v>
      </c>
      <c r="J271" s="27" t="e">
        <f>VLOOKUP(B271,Sheet5!A271:J594,6,0)</f>
        <v>#N/A</v>
      </c>
      <c r="K271" s="27" t="e">
        <f>VLOOKUP(B271,Sheet5!A271:J594,7,0)</f>
        <v>#N/A</v>
      </c>
      <c r="L271" s="27" t="e">
        <f>VLOOKUP(B271,Sheet5!A271:J594,8,0)</f>
        <v>#N/A</v>
      </c>
      <c r="M271" s="27" t="e">
        <f>VLOOKUP(B271,Sheet5!A271:J594,9,0)</f>
        <v>#N/A</v>
      </c>
      <c r="N271" s="27" t="e">
        <f>VLOOKUP(B271,Sheet5!A271:J594,10,0)</f>
        <v>#N/A</v>
      </c>
    </row>
    <row r="272" spans="1:14" x14ac:dyDescent="0.2">
      <c r="A272" s="3" t="s">
        <v>351</v>
      </c>
      <c r="B272" s="3" t="s">
        <v>352</v>
      </c>
      <c r="C272" s="4">
        <v>18784</v>
      </c>
      <c r="D272" s="4" t="s">
        <v>689</v>
      </c>
      <c r="E272" s="4" t="s">
        <v>1205</v>
      </c>
      <c r="F272" s="27" t="e">
        <f>VLOOKUP(B272,Sheet5!A272:J595,2,0)</f>
        <v>#N/A</v>
      </c>
      <c r="G272" s="27" t="e">
        <f>VLOOKUP(B272,Sheet5!A272:J595,3,0)</f>
        <v>#N/A</v>
      </c>
      <c r="H272" s="27" t="e">
        <f>VLOOKUP(B272,Sheet5!A272:J595,4,0)</f>
        <v>#N/A</v>
      </c>
      <c r="I272" s="27" t="e">
        <f>VLOOKUP(B272,Sheet5!A272:J595,5,0)</f>
        <v>#N/A</v>
      </c>
      <c r="J272" s="27" t="e">
        <f>VLOOKUP(B272,Sheet5!A272:J595,6,0)</f>
        <v>#N/A</v>
      </c>
      <c r="K272" s="27" t="e">
        <f>VLOOKUP(B272,Sheet5!A272:J595,7,0)</f>
        <v>#N/A</v>
      </c>
      <c r="L272" s="27" t="e">
        <f>VLOOKUP(B272,Sheet5!A272:J595,8,0)</f>
        <v>#N/A</v>
      </c>
      <c r="M272" s="27" t="e">
        <f>VLOOKUP(B272,Sheet5!A272:J595,9,0)</f>
        <v>#N/A</v>
      </c>
      <c r="N272" s="27" t="e">
        <f>VLOOKUP(B272,Sheet5!A272:J595,10,0)</f>
        <v>#N/A</v>
      </c>
    </row>
    <row r="273" spans="1:14" x14ac:dyDescent="0.2">
      <c r="A273" s="3" t="s">
        <v>353</v>
      </c>
      <c r="B273" s="3" t="s">
        <v>354</v>
      </c>
      <c r="C273" s="4">
        <v>12763</v>
      </c>
      <c r="D273" s="4" t="s">
        <v>689</v>
      </c>
      <c r="E273" s="4" t="s">
        <v>1205</v>
      </c>
      <c r="F273" s="27" t="e">
        <f>VLOOKUP(B273,Sheet5!A273:J596,2,0)</f>
        <v>#N/A</v>
      </c>
      <c r="G273" s="27" t="e">
        <f>VLOOKUP(B273,Sheet5!A273:J596,3,0)</f>
        <v>#N/A</v>
      </c>
      <c r="H273" s="27" t="e">
        <f>VLOOKUP(B273,Sheet5!A273:J596,4,0)</f>
        <v>#N/A</v>
      </c>
      <c r="I273" s="27" t="e">
        <f>VLOOKUP(B273,Sheet5!A273:J596,5,0)</f>
        <v>#N/A</v>
      </c>
      <c r="J273" s="27" t="e">
        <f>VLOOKUP(B273,Sheet5!A273:J596,6,0)</f>
        <v>#N/A</v>
      </c>
      <c r="K273" s="27" t="e">
        <f>VLOOKUP(B273,Sheet5!A273:J596,7,0)</f>
        <v>#N/A</v>
      </c>
      <c r="L273" s="27" t="e">
        <f>VLOOKUP(B273,Sheet5!A273:J596,8,0)</f>
        <v>#N/A</v>
      </c>
      <c r="M273" s="27" t="e">
        <f>VLOOKUP(B273,Sheet5!A273:J596,9,0)</f>
        <v>#N/A</v>
      </c>
      <c r="N273" s="27" t="e">
        <f>VLOOKUP(B273,Sheet5!A273:J596,10,0)</f>
        <v>#N/A</v>
      </c>
    </row>
    <row r="274" spans="1:14" x14ac:dyDescent="0.2">
      <c r="A274" s="3" t="s">
        <v>355</v>
      </c>
      <c r="B274" s="3" t="s">
        <v>356</v>
      </c>
      <c r="C274" s="4">
        <v>9633</v>
      </c>
      <c r="D274" s="4" t="s">
        <v>689</v>
      </c>
      <c r="E274" s="4" t="s">
        <v>1205</v>
      </c>
      <c r="F274" s="27" t="e">
        <f>VLOOKUP(B274,Sheet5!A274:J597,2,0)</f>
        <v>#N/A</v>
      </c>
      <c r="G274" s="27" t="e">
        <f>VLOOKUP(B274,Sheet5!A274:J597,3,0)</f>
        <v>#N/A</v>
      </c>
      <c r="H274" s="27" t="e">
        <f>VLOOKUP(B274,Sheet5!A274:J597,4,0)</f>
        <v>#N/A</v>
      </c>
      <c r="I274" s="27" t="e">
        <f>VLOOKUP(B274,Sheet5!A274:J597,5,0)</f>
        <v>#N/A</v>
      </c>
      <c r="J274" s="27" t="e">
        <f>VLOOKUP(B274,Sheet5!A274:J597,6,0)</f>
        <v>#N/A</v>
      </c>
      <c r="K274" s="27" t="e">
        <f>VLOOKUP(B274,Sheet5!A274:J597,7,0)</f>
        <v>#N/A</v>
      </c>
      <c r="L274" s="27" t="e">
        <f>VLOOKUP(B274,Sheet5!A274:J597,8,0)</f>
        <v>#N/A</v>
      </c>
      <c r="M274" s="27" t="e">
        <f>VLOOKUP(B274,Sheet5!A274:J597,9,0)</f>
        <v>#N/A</v>
      </c>
      <c r="N274" s="27" t="e">
        <f>VLOOKUP(B274,Sheet5!A274:J597,10,0)</f>
        <v>#N/A</v>
      </c>
    </row>
    <row r="275" spans="1:14" x14ac:dyDescent="0.2">
      <c r="A275" s="3" t="s">
        <v>357</v>
      </c>
      <c r="B275" s="3" t="s">
        <v>358</v>
      </c>
      <c r="C275" s="4">
        <v>9408</v>
      </c>
      <c r="D275" s="4" t="s">
        <v>689</v>
      </c>
      <c r="E275" s="4" t="s">
        <v>1205</v>
      </c>
      <c r="F275" s="27" t="e">
        <f>VLOOKUP(B275,Sheet5!A275:J598,2,0)</f>
        <v>#N/A</v>
      </c>
      <c r="G275" s="27" t="e">
        <f>VLOOKUP(B275,Sheet5!A275:J598,3,0)</f>
        <v>#N/A</v>
      </c>
      <c r="H275" s="27" t="e">
        <f>VLOOKUP(B275,Sheet5!A275:J598,4,0)</f>
        <v>#N/A</v>
      </c>
      <c r="I275" s="27" t="e">
        <f>VLOOKUP(B275,Sheet5!A275:J598,5,0)</f>
        <v>#N/A</v>
      </c>
      <c r="J275" s="27" t="e">
        <f>VLOOKUP(B275,Sheet5!A275:J598,6,0)</f>
        <v>#N/A</v>
      </c>
      <c r="K275" s="27" t="e">
        <f>VLOOKUP(B275,Sheet5!A275:J598,7,0)</f>
        <v>#N/A</v>
      </c>
      <c r="L275" s="27" t="e">
        <f>VLOOKUP(B275,Sheet5!A275:J598,8,0)</f>
        <v>#N/A</v>
      </c>
      <c r="M275" s="27" t="e">
        <f>VLOOKUP(B275,Sheet5!A275:J598,9,0)</f>
        <v>#N/A</v>
      </c>
      <c r="N275" s="27" t="e">
        <f>VLOOKUP(B275,Sheet5!A275:J598,10,0)</f>
        <v>#N/A</v>
      </c>
    </row>
    <row r="276" spans="1:14" x14ac:dyDescent="0.2">
      <c r="A276" s="3" t="s">
        <v>359</v>
      </c>
      <c r="B276" s="4"/>
      <c r="C276" s="4">
        <v>20929</v>
      </c>
      <c r="D276" s="4" t="s">
        <v>689</v>
      </c>
      <c r="E276" s="4" t="s">
        <v>1205</v>
      </c>
      <c r="F276" s="27" t="e">
        <f>VLOOKUP(B276,Sheet5!A276:J599,2,0)</f>
        <v>#N/A</v>
      </c>
      <c r="G276" s="27" t="e">
        <f>VLOOKUP(B276,Sheet5!A276:J599,3,0)</f>
        <v>#N/A</v>
      </c>
      <c r="H276" s="27" t="e">
        <f>VLOOKUP(B276,Sheet5!A276:J599,4,0)</f>
        <v>#N/A</v>
      </c>
      <c r="I276" s="27" t="e">
        <f>VLOOKUP(B276,Sheet5!A276:J599,5,0)</f>
        <v>#N/A</v>
      </c>
      <c r="J276" s="27" t="e">
        <f>VLOOKUP(B276,Sheet5!A276:J599,6,0)</f>
        <v>#N/A</v>
      </c>
      <c r="K276" s="27" t="e">
        <f>VLOOKUP(B276,Sheet5!A276:J599,7,0)</f>
        <v>#N/A</v>
      </c>
      <c r="L276" s="27" t="e">
        <f>VLOOKUP(B276,Sheet5!A276:J599,8,0)</f>
        <v>#N/A</v>
      </c>
      <c r="M276" s="27" t="e">
        <f>VLOOKUP(B276,Sheet5!A276:J599,9,0)</f>
        <v>#N/A</v>
      </c>
      <c r="N276" s="27" t="e">
        <f>VLOOKUP(B276,Sheet5!A276:J599,10,0)</f>
        <v>#N/A</v>
      </c>
    </row>
    <row r="277" spans="1:14" x14ac:dyDescent="0.2">
      <c r="A277" s="3" t="s">
        <v>360</v>
      </c>
      <c r="B277" s="4"/>
      <c r="C277" s="4">
        <v>9604</v>
      </c>
      <c r="D277" s="4" t="s">
        <v>689</v>
      </c>
      <c r="E277" s="4" t="s">
        <v>1205</v>
      </c>
      <c r="F277" s="27" t="e">
        <f>VLOOKUP(B277,Sheet5!A277:J600,2,0)</f>
        <v>#N/A</v>
      </c>
      <c r="G277" s="27" t="e">
        <f>VLOOKUP(B277,Sheet5!A277:J600,3,0)</f>
        <v>#N/A</v>
      </c>
      <c r="H277" s="27" t="e">
        <f>VLOOKUP(B277,Sheet5!A277:J600,4,0)</f>
        <v>#N/A</v>
      </c>
      <c r="I277" s="27" t="e">
        <f>VLOOKUP(B277,Sheet5!A277:J600,5,0)</f>
        <v>#N/A</v>
      </c>
      <c r="J277" s="27" t="e">
        <f>VLOOKUP(B277,Sheet5!A277:J600,6,0)</f>
        <v>#N/A</v>
      </c>
      <c r="K277" s="27" t="e">
        <f>VLOOKUP(B277,Sheet5!A277:J600,7,0)</f>
        <v>#N/A</v>
      </c>
      <c r="L277" s="27" t="e">
        <f>VLOOKUP(B277,Sheet5!A277:J600,8,0)</f>
        <v>#N/A</v>
      </c>
      <c r="M277" s="27" t="e">
        <f>VLOOKUP(B277,Sheet5!A277:J600,9,0)</f>
        <v>#N/A</v>
      </c>
      <c r="N277" s="27" t="e">
        <f>VLOOKUP(B277,Sheet5!A277:J600,10,0)</f>
        <v>#N/A</v>
      </c>
    </row>
    <row r="278" spans="1:14" x14ac:dyDescent="0.2">
      <c r="A278" s="3" t="s">
        <v>361</v>
      </c>
      <c r="B278" s="3" t="s">
        <v>646</v>
      </c>
      <c r="C278" s="4">
        <v>1171</v>
      </c>
      <c r="D278" s="4" t="s">
        <v>689</v>
      </c>
      <c r="E278" s="4" t="s">
        <v>1206</v>
      </c>
    </row>
    <row r="279" spans="1:14" x14ac:dyDescent="0.2">
      <c r="A279" s="3" t="s">
        <v>362</v>
      </c>
      <c r="B279" s="3" t="s">
        <v>647</v>
      </c>
      <c r="C279" s="4">
        <v>6729</v>
      </c>
      <c r="D279" s="4" t="s">
        <v>689</v>
      </c>
      <c r="E279" s="4" t="s">
        <v>1206</v>
      </c>
    </row>
    <row r="280" spans="1:14" x14ac:dyDescent="0.2">
      <c r="A280" s="3" t="s">
        <v>363</v>
      </c>
      <c r="B280" s="3" t="s">
        <v>364</v>
      </c>
      <c r="C280" s="4">
        <v>8843</v>
      </c>
      <c r="D280" s="4" t="s">
        <v>689</v>
      </c>
      <c r="E280" s="4" t="s">
        <v>1206</v>
      </c>
    </row>
    <row r="281" spans="1:14" x14ac:dyDescent="0.2">
      <c r="A281" s="6" t="s">
        <v>365</v>
      </c>
      <c r="B281" s="3" t="s">
        <v>366</v>
      </c>
      <c r="C281" s="4">
        <v>6846</v>
      </c>
      <c r="D281" s="4" t="s">
        <v>689</v>
      </c>
      <c r="E281" s="4" t="s">
        <v>1206</v>
      </c>
    </row>
    <row r="282" spans="1:14" x14ac:dyDescent="0.2">
      <c r="A282" s="3" t="s">
        <v>367</v>
      </c>
      <c r="B282" s="3" t="s">
        <v>368</v>
      </c>
      <c r="C282" s="4">
        <v>6856</v>
      </c>
      <c r="D282" s="4" t="s">
        <v>689</v>
      </c>
      <c r="E282" s="4" t="s">
        <v>1206</v>
      </c>
    </row>
    <row r="283" spans="1:14" x14ac:dyDescent="0.2">
      <c r="A283" s="3" t="s">
        <v>369</v>
      </c>
      <c r="B283" s="6" t="s">
        <v>370</v>
      </c>
      <c r="C283" s="4">
        <v>11549</v>
      </c>
      <c r="D283" s="4" t="s">
        <v>689</v>
      </c>
      <c r="E283" s="4" t="s">
        <v>1206</v>
      </c>
    </row>
    <row r="284" spans="1:14" x14ac:dyDescent="0.2">
      <c r="A284" s="3" t="s">
        <v>371</v>
      </c>
      <c r="B284" s="3" t="s">
        <v>372</v>
      </c>
      <c r="C284" s="4">
        <v>6764</v>
      </c>
      <c r="D284" s="4" t="s">
        <v>689</v>
      </c>
      <c r="E284" s="4" t="s">
        <v>1206</v>
      </c>
    </row>
    <row r="285" spans="1:14" x14ac:dyDescent="0.2">
      <c r="A285" s="3" t="s">
        <v>373</v>
      </c>
      <c r="B285" s="3" t="s">
        <v>648</v>
      </c>
      <c r="C285" s="4">
        <v>6738</v>
      </c>
      <c r="D285" s="4" t="s">
        <v>689</v>
      </c>
      <c r="E285" s="4" t="s">
        <v>1206</v>
      </c>
    </row>
    <row r="286" spans="1:14" x14ac:dyDescent="0.2">
      <c r="A286" s="3" t="s">
        <v>374</v>
      </c>
      <c r="B286" s="3" t="s">
        <v>375</v>
      </c>
      <c r="C286" s="4">
        <v>10348</v>
      </c>
      <c r="D286" s="4" t="s">
        <v>689</v>
      </c>
      <c r="E286" s="4" t="s">
        <v>1206</v>
      </c>
    </row>
    <row r="287" spans="1:14" x14ac:dyDescent="0.2">
      <c r="A287" s="3" t="s">
        <v>376</v>
      </c>
      <c r="B287" s="3" t="s">
        <v>377</v>
      </c>
      <c r="C287" s="4">
        <v>6851</v>
      </c>
      <c r="D287" s="4" t="s">
        <v>689</v>
      </c>
      <c r="E287" s="4" t="s">
        <v>1206</v>
      </c>
    </row>
    <row r="288" spans="1:14" x14ac:dyDescent="0.2">
      <c r="A288" s="3" t="s">
        <v>378</v>
      </c>
      <c r="B288" s="3" t="s">
        <v>379</v>
      </c>
      <c r="C288" s="4">
        <v>17058</v>
      </c>
      <c r="D288" s="4" t="s">
        <v>689</v>
      </c>
      <c r="E288" s="4" t="s">
        <v>1206</v>
      </c>
    </row>
    <row r="289" spans="1:5" x14ac:dyDescent="0.2">
      <c r="A289" s="3" t="s">
        <v>380</v>
      </c>
      <c r="B289" s="3" t="s">
        <v>381</v>
      </c>
      <c r="C289" s="4">
        <v>7055</v>
      </c>
      <c r="D289" s="4" t="s">
        <v>689</v>
      </c>
      <c r="E289" s="4" t="s">
        <v>1206</v>
      </c>
    </row>
    <row r="290" spans="1:5" x14ac:dyDescent="0.2">
      <c r="A290" s="3" t="s">
        <v>382</v>
      </c>
      <c r="B290" s="3" t="s">
        <v>383</v>
      </c>
      <c r="C290" s="4">
        <v>9964</v>
      </c>
      <c r="D290" s="4" t="s">
        <v>689</v>
      </c>
      <c r="E290" s="4" t="s">
        <v>1206</v>
      </c>
    </row>
    <row r="291" spans="1:5" x14ac:dyDescent="0.2">
      <c r="A291" s="3" t="s">
        <v>384</v>
      </c>
      <c r="B291" s="3" t="s">
        <v>385</v>
      </c>
      <c r="C291" s="4">
        <v>6740</v>
      </c>
      <c r="D291" s="4" t="s">
        <v>689</v>
      </c>
      <c r="E291" s="4" t="s">
        <v>1206</v>
      </c>
    </row>
    <row r="292" spans="1:5" x14ac:dyDescent="0.2">
      <c r="A292" s="3" t="s">
        <v>386</v>
      </c>
      <c r="B292" s="3" t="s">
        <v>387</v>
      </c>
      <c r="C292" s="4">
        <v>18524</v>
      </c>
      <c r="D292" s="4" t="s">
        <v>689</v>
      </c>
      <c r="E292" s="4" t="s">
        <v>1206</v>
      </c>
    </row>
    <row r="293" spans="1:5" x14ac:dyDescent="0.2">
      <c r="A293" s="3" t="s">
        <v>388</v>
      </c>
      <c r="B293" s="3" t="s">
        <v>389</v>
      </c>
      <c r="C293" s="4">
        <v>2169</v>
      </c>
      <c r="D293" s="4" t="s">
        <v>689</v>
      </c>
      <c r="E293" s="4" t="s">
        <v>1206</v>
      </c>
    </row>
    <row r="294" spans="1:5" x14ac:dyDescent="0.2">
      <c r="A294" s="3" t="s">
        <v>390</v>
      </c>
      <c r="B294" s="7" t="s">
        <v>649</v>
      </c>
      <c r="C294" s="4">
        <v>5846</v>
      </c>
      <c r="D294" s="4" t="s">
        <v>689</v>
      </c>
      <c r="E294" s="4" t="s">
        <v>1207</v>
      </c>
    </row>
    <row r="295" spans="1:5" x14ac:dyDescent="0.2">
      <c r="A295" s="3" t="s">
        <v>391</v>
      </c>
      <c r="B295" s="3" t="s">
        <v>650</v>
      </c>
      <c r="C295" s="4">
        <v>7031</v>
      </c>
      <c r="D295" s="4" t="s">
        <v>689</v>
      </c>
      <c r="E295" s="4" t="s">
        <v>1207</v>
      </c>
    </row>
    <row r="296" spans="1:5" x14ac:dyDescent="0.2">
      <c r="A296" s="3" t="s">
        <v>392</v>
      </c>
      <c r="B296" s="3" t="s">
        <v>393</v>
      </c>
      <c r="C296" s="4">
        <v>14819</v>
      </c>
      <c r="D296" s="4" t="s">
        <v>689</v>
      </c>
      <c r="E296" s="4" t="s">
        <v>1207</v>
      </c>
    </row>
    <row r="297" spans="1:5" x14ac:dyDescent="0.2">
      <c r="A297" s="3" t="s">
        <v>394</v>
      </c>
      <c r="B297" s="3" t="s">
        <v>651</v>
      </c>
      <c r="C297" s="4">
        <v>18828</v>
      </c>
      <c r="D297" s="4" t="s">
        <v>689</v>
      </c>
      <c r="E297" s="4" t="s">
        <v>1207</v>
      </c>
    </row>
    <row r="298" spans="1:5" x14ac:dyDescent="0.2">
      <c r="A298" s="3" t="s">
        <v>395</v>
      </c>
      <c r="B298" s="3" t="s">
        <v>652</v>
      </c>
      <c r="C298" s="4">
        <v>21549</v>
      </c>
      <c r="D298" s="4" t="s">
        <v>689</v>
      </c>
      <c r="E298" s="4" t="s">
        <v>1207</v>
      </c>
    </row>
    <row r="299" spans="1:5" x14ac:dyDescent="0.2">
      <c r="A299" s="3" t="s">
        <v>1184</v>
      </c>
      <c r="B299" s="3" t="s">
        <v>1185</v>
      </c>
      <c r="C299" s="3" t="s">
        <v>1183</v>
      </c>
      <c r="D299" s="4" t="s">
        <v>689</v>
      </c>
      <c r="E299" s="4" t="s">
        <v>1207</v>
      </c>
    </row>
    <row r="300" spans="1:5" x14ac:dyDescent="0.2">
      <c r="A300" s="3" t="s">
        <v>1189</v>
      </c>
      <c r="B300" s="3" t="s">
        <v>1190</v>
      </c>
      <c r="C300" s="3" t="s">
        <v>1188</v>
      </c>
      <c r="D300" s="4" t="s">
        <v>689</v>
      </c>
      <c r="E300" s="4" t="s">
        <v>1207</v>
      </c>
    </row>
    <row r="301" spans="1:5" x14ac:dyDescent="0.2">
      <c r="A301" s="3" t="s">
        <v>396</v>
      </c>
      <c r="B301" s="3" t="s">
        <v>397</v>
      </c>
      <c r="C301" s="4">
        <v>11185</v>
      </c>
      <c r="D301" s="4" t="s">
        <v>689</v>
      </c>
      <c r="E301" s="4" t="s">
        <v>1207</v>
      </c>
    </row>
    <row r="302" spans="1:5" x14ac:dyDescent="0.2">
      <c r="A302" s="3" t="s">
        <v>398</v>
      </c>
      <c r="B302" s="3" t="s">
        <v>653</v>
      </c>
      <c r="C302" s="4">
        <v>12627</v>
      </c>
      <c r="D302" s="4" t="s">
        <v>689</v>
      </c>
      <c r="E302" s="4" t="s">
        <v>1207</v>
      </c>
    </row>
    <row r="303" spans="1:5" x14ac:dyDescent="0.2">
      <c r="A303" s="3" t="s">
        <v>399</v>
      </c>
      <c r="B303" s="3" t="s">
        <v>654</v>
      </c>
      <c r="C303" s="4">
        <v>11362</v>
      </c>
      <c r="D303" s="4" t="s">
        <v>689</v>
      </c>
      <c r="E303" s="4" t="s">
        <v>1207</v>
      </c>
    </row>
    <row r="304" spans="1:5" x14ac:dyDescent="0.2">
      <c r="A304" s="3" t="s">
        <v>400</v>
      </c>
      <c r="B304" s="3" t="s">
        <v>655</v>
      </c>
      <c r="C304" s="4">
        <v>218</v>
      </c>
      <c r="D304" s="4" t="s">
        <v>689</v>
      </c>
      <c r="E304" s="4" t="s">
        <v>1207</v>
      </c>
    </row>
    <row r="305" spans="1:5" x14ac:dyDescent="0.2">
      <c r="A305" s="3" t="s">
        <v>401</v>
      </c>
      <c r="B305" s="3" t="s">
        <v>656</v>
      </c>
      <c r="C305" s="4">
        <v>16770</v>
      </c>
      <c r="D305" s="4" t="s">
        <v>689</v>
      </c>
      <c r="E305" s="4" t="s">
        <v>1207</v>
      </c>
    </row>
    <row r="306" spans="1:5" x14ac:dyDescent="0.2">
      <c r="A306" s="3" t="s">
        <v>402</v>
      </c>
      <c r="B306" s="3" t="s">
        <v>657</v>
      </c>
      <c r="C306" s="4">
        <v>8108</v>
      </c>
      <c r="D306" s="4" t="s">
        <v>689</v>
      </c>
      <c r="E306" s="4" t="s">
        <v>1207</v>
      </c>
    </row>
    <row r="307" spans="1:5" x14ac:dyDescent="0.2">
      <c r="A307" s="3" t="s">
        <v>403</v>
      </c>
      <c r="B307" s="3" t="s">
        <v>404</v>
      </c>
      <c r="C307" s="4">
        <v>531</v>
      </c>
      <c r="D307" s="4" t="s">
        <v>689</v>
      </c>
      <c r="E307" s="4" t="s">
        <v>1207</v>
      </c>
    </row>
    <row r="308" spans="1:5" x14ac:dyDescent="0.2">
      <c r="A308" s="3" t="s">
        <v>405</v>
      </c>
      <c r="B308" s="3" t="s">
        <v>406</v>
      </c>
      <c r="C308" s="4">
        <v>19657</v>
      </c>
      <c r="D308" s="4" t="s">
        <v>689</v>
      </c>
      <c r="E308" s="4" t="s">
        <v>1207</v>
      </c>
    </row>
    <row r="309" spans="1:5" x14ac:dyDescent="0.2">
      <c r="A309" s="3" t="s">
        <v>407</v>
      </c>
      <c r="B309" s="3" t="s">
        <v>408</v>
      </c>
      <c r="C309" s="4">
        <v>8269</v>
      </c>
      <c r="D309" s="4" t="s">
        <v>689</v>
      </c>
      <c r="E309" s="4" t="s">
        <v>1207</v>
      </c>
    </row>
    <row r="310" spans="1:5" x14ac:dyDescent="0.2">
      <c r="A310" s="3" t="s">
        <v>409</v>
      </c>
      <c r="B310" s="3" t="s">
        <v>410</v>
      </c>
      <c r="C310" s="4">
        <v>15894</v>
      </c>
      <c r="D310" s="4" t="s">
        <v>689</v>
      </c>
      <c r="E310" s="4" t="s">
        <v>1207</v>
      </c>
    </row>
    <row r="311" spans="1:5" x14ac:dyDescent="0.2">
      <c r="A311" s="3" t="s">
        <v>409</v>
      </c>
      <c r="B311" s="3" t="s">
        <v>411</v>
      </c>
      <c r="C311" s="4">
        <v>15894</v>
      </c>
      <c r="D311" s="4" t="s">
        <v>689</v>
      </c>
      <c r="E311" s="4" t="s">
        <v>1207</v>
      </c>
    </row>
    <row r="312" spans="1:5" x14ac:dyDescent="0.2">
      <c r="A312" s="3" t="s">
        <v>412</v>
      </c>
      <c r="B312" s="3" t="s">
        <v>413</v>
      </c>
      <c r="C312" s="4">
        <v>7932</v>
      </c>
      <c r="D312" s="4" t="s">
        <v>689</v>
      </c>
      <c r="E312" s="4" t="s">
        <v>1207</v>
      </c>
    </row>
    <row r="313" spans="1:5" x14ac:dyDescent="0.2">
      <c r="A313" s="3" t="s">
        <v>412</v>
      </c>
      <c r="B313" s="3" t="s">
        <v>414</v>
      </c>
      <c r="C313" s="4">
        <v>7932</v>
      </c>
      <c r="D313" s="4" t="s">
        <v>689</v>
      </c>
      <c r="E313" s="4" t="s">
        <v>1207</v>
      </c>
    </row>
    <row r="314" spans="1:5" x14ac:dyDescent="0.2">
      <c r="A314" s="3" t="s">
        <v>415</v>
      </c>
      <c r="B314" s="3" t="s">
        <v>416</v>
      </c>
      <c r="C314" s="4">
        <v>547</v>
      </c>
      <c r="D314" s="4" t="s">
        <v>689</v>
      </c>
      <c r="E314" s="4" t="s">
        <v>1207</v>
      </c>
    </row>
    <row r="315" spans="1:5" hidden="1" x14ac:dyDescent="0.2">
      <c r="A315" s="14" t="s">
        <v>417</v>
      </c>
      <c r="B315" s="14" t="s">
        <v>418</v>
      </c>
      <c r="C315" s="14">
        <v>4421</v>
      </c>
      <c r="D315" s="14" t="s">
        <v>690</v>
      </c>
      <c r="E315" s="14" t="s">
        <v>1200</v>
      </c>
    </row>
    <row r="316" spans="1:5" hidden="1" x14ac:dyDescent="0.2">
      <c r="A316" s="14" t="s">
        <v>419</v>
      </c>
      <c r="B316" s="14" t="s">
        <v>658</v>
      </c>
      <c r="C316" s="14">
        <v>3742</v>
      </c>
      <c r="D316" s="14" t="s">
        <v>690</v>
      </c>
      <c r="E316" s="14" t="s">
        <v>1200</v>
      </c>
    </row>
    <row r="317" spans="1:5" hidden="1" x14ac:dyDescent="0.2">
      <c r="A317" s="14" t="s">
        <v>420</v>
      </c>
      <c r="B317" s="14"/>
      <c r="C317" s="14">
        <v>18200</v>
      </c>
      <c r="D317" s="14" t="s">
        <v>690</v>
      </c>
      <c r="E317" s="14" t="s">
        <v>1200</v>
      </c>
    </row>
    <row r="318" spans="1:5" hidden="1" x14ac:dyDescent="0.2">
      <c r="A318" s="14" t="s">
        <v>421</v>
      </c>
      <c r="B318" s="14" t="s">
        <v>659</v>
      </c>
      <c r="C318" s="14">
        <v>9359</v>
      </c>
      <c r="D318" s="14" t="s">
        <v>690</v>
      </c>
      <c r="E318" s="14" t="s">
        <v>1200</v>
      </c>
    </row>
    <row r="319" spans="1:5" hidden="1" x14ac:dyDescent="0.2">
      <c r="A319" s="14" t="s">
        <v>422</v>
      </c>
      <c r="B319" s="14" t="s">
        <v>660</v>
      </c>
      <c r="C319" s="14">
        <v>6463</v>
      </c>
      <c r="D319" s="14" t="s">
        <v>690</v>
      </c>
      <c r="E319" s="14" t="s">
        <v>1200</v>
      </c>
    </row>
    <row r="320" spans="1:5" hidden="1" x14ac:dyDescent="0.2">
      <c r="A320" s="14" t="s">
        <v>423</v>
      </c>
      <c r="B320" s="14" t="s">
        <v>661</v>
      </c>
      <c r="C320" s="14">
        <v>8899</v>
      </c>
      <c r="D320" s="14" t="s">
        <v>690</v>
      </c>
      <c r="E320" s="14" t="s">
        <v>1200</v>
      </c>
    </row>
    <row r="321" spans="1:5" hidden="1" x14ac:dyDescent="0.2">
      <c r="A321" s="14" t="s">
        <v>424</v>
      </c>
      <c r="B321" s="14" t="s">
        <v>662</v>
      </c>
      <c r="C321" s="14">
        <v>20838</v>
      </c>
      <c r="D321" s="14" t="s">
        <v>690</v>
      </c>
      <c r="E321" s="14" t="s">
        <v>1200</v>
      </c>
    </row>
    <row r="322" spans="1:5" hidden="1" x14ac:dyDescent="0.2">
      <c r="A322" s="14" t="s">
        <v>425</v>
      </c>
      <c r="B322" s="14" t="s">
        <v>663</v>
      </c>
      <c r="C322" s="14">
        <v>3235</v>
      </c>
      <c r="D322" s="14" t="s">
        <v>690</v>
      </c>
      <c r="E322" s="14" t="s">
        <v>1200</v>
      </c>
    </row>
    <row r="323" spans="1:5" hidden="1" x14ac:dyDescent="0.2">
      <c r="A323" s="14" t="s">
        <v>426</v>
      </c>
      <c r="B323" s="14" t="s">
        <v>427</v>
      </c>
      <c r="C323" s="14">
        <v>15506</v>
      </c>
      <c r="D323" s="14" t="s">
        <v>690</v>
      </c>
      <c r="E323" s="14" t="s">
        <v>1200</v>
      </c>
    </row>
    <row r="324" spans="1:5" hidden="1" x14ac:dyDescent="0.2">
      <c r="A324" s="14" t="s">
        <v>428</v>
      </c>
      <c r="B324" s="14" t="s">
        <v>429</v>
      </c>
      <c r="C324" s="14">
        <v>6454</v>
      </c>
      <c r="D324" s="14" t="s">
        <v>690</v>
      </c>
      <c r="E324" s="14" t="s">
        <v>1200</v>
      </c>
    </row>
    <row r="325" spans="1:5" hidden="1" x14ac:dyDescent="0.2">
      <c r="A325" s="14" t="s">
        <v>430</v>
      </c>
      <c r="B325" s="14" t="s">
        <v>431</v>
      </c>
      <c r="C325" s="14">
        <v>21137</v>
      </c>
      <c r="D325" s="14" t="s">
        <v>690</v>
      </c>
      <c r="E325" s="14" t="s">
        <v>1200</v>
      </c>
    </row>
    <row r="326" spans="1:5" hidden="1" x14ac:dyDescent="0.2">
      <c r="A326" s="14" t="s">
        <v>432</v>
      </c>
      <c r="B326" s="14" t="s">
        <v>664</v>
      </c>
      <c r="C326" s="14">
        <v>21132</v>
      </c>
      <c r="D326" s="14" t="s">
        <v>690</v>
      </c>
      <c r="E326" s="14" t="s">
        <v>1200</v>
      </c>
    </row>
    <row r="327" spans="1:5" hidden="1" x14ac:dyDescent="0.2">
      <c r="A327" s="14" t="s">
        <v>433</v>
      </c>
      <c r="B327" s="14" t="s">
        <v>434</v>
      </c>
      <c r="C327" s="14">
        <v>10676</v>
      </c>
      <c r="D327" s="14" t="s">
        <v>690</v>
      </c>
      <c r="E327" s="14" t="s">
        <v>1200</v>
      </c>
    </row>
    <row r="328" spans="1:5" hidden="1" x14ac:dyDescent="0.2">
      <c r="A328" s="14" t="s">
        <v>435</v>
      </c>
      <c r="B328" s="14" t="s">
        <v>436</v>
      </c>
      <c r="C328" s="14">
        <v>12851</v>
      </c>
      <c r="D328" s="14" t="s">
        <v>690</v>
      </c>
      <c r="E328" s="14" t="s">
        <v>1200</v>
      </c>
    </row>
    <row r="329" spans="1:5" hidden="1" x14ac:dyDescent="0.2">
      <c r="A329" s="14" t="s">
        <v>1151</v>
      </c>
      <c r="B329" s="15" t="s">
        <v>1178</v>
      </c>
      <c r="C329" s="14" t="s">
        <v>1150</v>
      </c>
      <c r="D329" s="14" t="s">
        <v>690</v>
      </c>
      <c r="E329" s="14" t="s">
        <v>1200</v>
      </c>
    </row>
    <row r="330" spans="1:5" hidden="1" x14ac:dyDescent="0.2">
      <c r="A330" s="14" t="s">
        <v>1149</v>
      </c>
      <c r="B330" s="15" t="s">
        <v>1177</v>
      </c>
      <c r="C330" s="14" t="s">
        <v>1148</v>
      </c>
      <c r="D330" s="14" t="s">
        <v>690</v>
      </c>
      <c r="E330" s="14" t="s">
        <v>1200</v>
      </c>
    </row>
    <row r="331" spans="1:5" hidden="1" x14ac:dyDescent="0.2">
      <c r="A331" s="14" t="s">
        <v>1147</v>
      </c>
      <c r="B331" s="15" t="s">
        <v>1176</v>
      </c>
      <c r="C331" s="14" t="s">
        <v>1146</v>
      </c>
      <c r="D331" s="14" t="s">
        <v>690</v>
      </c>
      <c r="E331" s="14" t="s">
        <v>1200</v>
      </c>
    </row>
    <row r="332" spans="1:5" hidden="1" x14ac:dyDescent="0.2">
      <c r="A332" s="14" t="s">
        <v>1135</v>
      </c>
      <c r="B332" s="15" t="s">
        <v>1171</v>
      </c>
      <c r="C332" s="14" t="s">
        <v>1134</v>
      </c>
      <c r="D332" s="14" t="s">
        <v>690</v>
      </c>
      <c r="E332" s="14" t="s">
        <v>1200</v>
      </c>
    </row>
    <row r="333" spans="1:5" hidden="1" x14ac:dyDescent="0.2">
      <c r="A333" s="14" t="s">
        <v>1131</v>
      </c>
      <c r="B333" s="15" t="s">
        <v>1169</v>
      </c>
      <c r="C333" s="14" t="s">
        <v>1130</v>
      </c>
      <c r="D333" s="14" t="s">
        <v>690</v>
      </c>
      <c r="E333" s="14" t="s">
        <v>1200</v>
      </c>
    </row>
    <row r="334" spans="1:5" hidden="1" x14ac:dyDescent="0.2">
      <c r="A334" s="14" t="s">
        <v>1103</v>
      </c>
      <c r="B334" s="15" t="s">
        <v>1155</v>
      </c>
      <c r="C334" s="14" t="s">
        <v>1102</v>
      </c>
      <c r="D334" s="14" t="s">
        <v>690</v>
      </c>
      <c r="E334" s="14" t="s">
        <v>1200</v>
      </c>
    </row>
    <row r="335" spans="1:5" hidden="1" x14ac:dyDescent="0.2">
      <c r="A335" s="14" t="s">
        <v>1117</v>
      </c>
      <c r="B335" s="15" t="s">
        <v>1162</v>
      </c>
      <c r="C335" s="14" t="s">
        <v>1116</v>
      </c>
      <c r="D335" s="14" t="s">
        <v>690</v>
      </c>
      <c r="E335" s="14" t="s">
        <v>1200</v>
      </c>
    </row>
    <row r="336" spans="1:5" hidden="1" x14ac:dyDescent="0.2">
      <c r="A336" s="14" t="s">
        <v>437</v>
      </c>
      <c r="B336" s="14" t="s">
        <v>438</v>
      </c>
      <c r="C336" s="14">
        <v>21417</v>
      </c>
      <c r="D336" s="14" t="s">
        <v>690</v>
      </c>
      <c r="E336" s="14" t="s">
        <v>1200</v>
      </c>
    </row>
    <row r="337" spans="1:5" hidden="1" x14ac:dyDescent="0.2">
      <c r="A337" s="14" t="s">
        <v>439</v>
      </c>
      <c r="B337" s="14" t="s">
        <v>440</v>
      </c>
      <c r="C337" s="14">
        <v>15546</v>
      </c>
      <c r="D337" s="14" t="s">
        <v>690</v>
      </c>
      <c r="E337" s="14" t="s">
        <v>1200</v>
      </c>
    </row>
    <row r="338" spans="1:5" hidden="1" x14ac:dyDescent="0.2">
      <c r="A338" s="14" t="s">
        <v>117</v>
      </c>
      <c r="B338" s="14" t="s">
        <v>665</v>
      </c>
      <c r="C338" s="14">
        <v>8684</v>
      </c>
      <c r="D338" s="14" t="s">
        <v>690</v>
      </c>
      <c r="E338" s="14" t="s">
        <v>1200</v>
      </c>
    </row>
    <row r="339" spans="1:5" hidden="1" x14ac:dyDescent="0.2">
      <c r="A339" s="14" t="s">
        <v>441</v>
      </c>
      <c r="B339" s="14" t="s">
        <v>442</v>
      </c>
      <c r="C339" s="14">
        <v>18810</v>
      </c>
      <c r="D339" s="14" t="s">
        <v>690</v>
      </c>
      <c r="E339" s="14" t="s">
        <v>1200</v>
      </c>
    </row>
    <row r="340" spans="1:5" hidden="1" x14ac:dyDescent="0.2">
      <c r="A340" s="14" t="s">
        <v>443</v>
      </c>
      <c r="B340" s="14" t="s">
        <v>444</v>
      </c>
      <c r="C340" s="14">
        <v>21563</v>
      </c>
      <c r="D340" s="14" t="s">
        <v>690</v>
      </c>
      <c r="E340" s="14" t="s">
        <v>1200</v>
      </c>
    </row>
    <row r="341" spans="1:5" hidden="1" x14ac:dyDescent="0.2">
      <c r="A341" s="14" t="s">
        <v>1127</v>
      </c>
      <c r="B341" s="15" t="s">
        <v>1167</v>
      </c>
      <c r="C341" s="14" t="s">
        <v>1126</v>
      </c>
      <c r="D341" s="14" t="s">
        <v>690</v>
      </c>
      <c r="E341" s="14" t="s">
        <v>1200</v>
      </c>
    </row>
    <row r="342" spans="1:5" hidden="1" x14ac:dyDescent="0.2">
      <c r="A342" s="14" t="s">
        <v>1109</v>
      </c>
      <c r="B342" s="15" t="s">
        <v>1158</v>
      </c>
      <c r="C342" s="14" t="s">
        <v>1108</v>
      </c>
      <c r="D342" s="14" t="s">
        <v>690</v>
      </c>
      <c r="E342" s="14" t="s">
        <v>1200</v>
      </c>
    </row>
    <row r="343" spans="1:5" hidden="1" x14ac:dyDescent="0.2">
      <c r="A343" s="14" t="s">
        <v>1111</v>
      </c>
      <c r="B343" s="15" t="s">
        <v>1159</v>
      </c>
      <c r="C343" s="14" t="s">
        <v>1110</v>
      </c>
      <c r="D343" s="14" t="s">
        <v>690</v>
      </c>
      <c r="E343" s="14" t="s">
        <v>1200</v>
      </c>
    </row>
    <row r="344" spans="1:5" hidden="1" x14ac:dyDescent="0.2">
      <c r="A344" s="14" t="s">
        <v>445</v>
      </c>
      <c r="B344" s="14" t="s">
        <v>446</v>
      </c>
      <c r="C344" s="14">
        <v>9742</v>
      </c>
      <c r="D344" s="14" t="s">
        <v>690</v>
      </c>
      <c r="E344" s="14" t="s">
        <v>1200</v>
      </c>
    </row>
    <row r="345" spans="1:5" hidden="1" x14ac:dyDescent="0.2">
      <c r="A345" s="14" t="s">
        <v>447</v>
      </c>
      <c r="B345" s="14" t="s">
        <v>448</v>
      </c>
      <c r="C345" s="14">
        <v>21114</v>
      </c>
      <c r="D345" s="14" t="s">
        <v>690</v>
      </c>
      <c r="E345" s="14" t="s">
        <v>1200</v>
      </c>
    </row>
    <row r="346" spans="1:5" hidden="1" x14ac:dyDescent="0.2">
      <c r="A346" s="4" t="s">
        <v>449</v>
      </c>
      <c r="B346" s="4" t="s">
        <v>666</v>
      </c>
      <c r="C346" s="4">
        <v>21007</v>
      </c>
      <c r="D346" s="4" t="s">
        <v>690</v>
      </c>
      <c r="E346" s="4" t="s">
        <v>1201</v>
      </c>
    </row>
    <row r="347" spans="1:5" hidden="1" x14ac:dyDescent="0.2">
      <c r="A347" s="3" t="s">
        <v>1129</v>
      </c>
      <c r="B347" s="7" t="s">
        <v>1168</v>
      </c>
      <c r="C347" s="3" t="s">
        <v>1128</v>
      </c>
      <c r="D347" s="4" t="s">
        <v>690</v>
      </c>
      <c r="E347" s="4" t="s">
        <v>1201</v>
      </c>
    </row>
    <row r="348" spans="1:5" hidden="1" x14ac:dyDescent="0.2">
      <c r="A348" s="4" t="s">
        <v>290</v>
      </c>
      <c r="B348" s="4" t="s">
        <v>450</v>
      </c>
      <c r="C348" s="4">
        <v>21014</v>
      </c>
      <c r="D348" s="4" t="s">
        <v>690</v>
      </c>
      <c r="E348" s="4" t="s">
        <v>1201</v>
      </c>
    </row>
    <row r="349" spans="1:5" hidden="1" x14ac:dyDescent="0.2">
      <c r="A349" s="4" t="s">
        <v>451</v>
      </c>
      <c r="B349" s="4" t="s">
        <v>452</v>
      </c>
      <c r="C349" s="4">
        <v>21011</v>
      </c>
      <c r="D349" s="4" t="s">
        <v>690</v>
      </c>
      <c r="E349" s="4" t="s">
        <v>1201</v>
      </c>
    </row>
    <row r="350" spans="1:5" hidden="1" x14ac:dyDescent="0.2">
      <c r="A350" s="4" t="s">
        <v>453</v>
      </c>
      <c r="B350" s="4" t="s">
        <v>454</v>
      </c>
      <c r="C350" s="4">
        <v>20888</v>
      </c>
      <c r="D350" s="4" t="s">
        <v>690</v>
      </c>
      <c r="E350" s="4" t="s">
        <v>1201</v>
      </c>
    </row>
    <row r="351" spans="1:5" hidden="1" x14ac:dyDescent="0.2">
      <c r="A351" s="4" t="s">
        <v>455</v>
      </c>
      <c r="B351" s="4" t="s">
        <v>456</v>
      </c>
      <c r="C351" s="4">
        <v>20889</v>
      </c>
      <c r="D351" s="4" t="s">
        <v>690</v>
      </c>
      <c r="E351" s="4" t="s">
        <v>1201</v>
      </c>
    </row>
    <row r="352" spans="1:5" hidden="1" x14ac:dyDescent="0.2">
      <c r="A352" s="4" t="s">
        <v>457</v>
      </c>
      <c r="B352" s="4" t="s">
        <v>458</v>
      </c>
      <c r="C352" s="4">
        <v>20758</v>
      </c>
      <c r="D352" s="4" t="s">
        <v>690</v>
      </c>
      <c r="E352" s="4" t="s">
        <v>1201</v>
      </c>
    </row>
    <row r="353" spans="1:5" hidden="1" x14ac:dyDescent="0.2">
      <c r="A353" s="4" t="s">
        <v>459</v>
      </c>
      <c r="B353" s="4" t="s">
        <v>460</v>
      </c>
      <c r="C353" s="4">
        <v>20930</v>
      </c>
      <c r="D353" s="4" t="s">
        <v>690</v>
      </c>
      <c r="E353" s="4" t="s">
        <v>1201</v>
      </c>
    </row>
    <row r="354" spans="1:5" hidden="1" x14ac:dyDescent="0.2">
      <c r="A354" s="4" t="s">
        <v>461</v>
      </c>
      <c r="B354" s="4" t="s">
        <v>667</v>
      </c>
      <c r="C354" s="4">
        <v>21454</v>
      </c>
      <c r="D354" s="4" t="s">
        <v>690</v>
      </c>
      <c r="E354" s="4" t="s">
        <v>1201</v>
      </c>
    </row>
    <row r="355" spans="1:5" hidden="1" x14ac:dyDescent="0.2">
      <c r="A355" s="4" t="s">
        <v>290</v>
      </c>
      <c r="B355" s="4" t="s">
        <v>668</v>
      </c>
      <c r="C355" s="4">
        <v>21014</v>
      </c>
      <c r="D355" s="4" t="s">
        <v>690</v>
      </c>
      <c r="E355" s="4" t="s">
        <v>1201</v>
      </c>
    </row>
    <row r="356" spans="1:5" hidden="1" x14ac:dyDescent="0.2">
      <c r="A356" s="4" t="s">
        <v>290</v>
      </c>
      <c r="B356" s="4" t="s">
        <v>462</v>
      </c>
      <c r="C356" s="4">
        <v>21014</v>
      </c>
      <c r="D356" s="4" t="s">
        <v>690</v>
      </c>
      <c r="E356" s="4" t="s">
        <v>1201</v>
      </c>
    </row>
    <row r="357" spans="1:5" hidden="1" x14ac:dyDescent="0.2">
      <c r="A357" s="4" t="s">
        <v>463</v>
      </c>
      <c r="B357" s="4" t="s">
        <v>669</v>
      </c>
      <c r="C357" s="4">
        <v>21017</v>
      </c>
      <c r="D357" s="4" t="s">
        <v>690</v>
      </c>
      <c r="E357" s="4" t="s">
        <v>1201</v>
      </c>
    </row>
    <row r="358" spans="1:5" hidden="1" x14ac:dyDescent="0.2">
      <c r="A358" s="3" t="s">
        <v>1145</v>
      </c>
      <c r="B358" s="7" t="s">
        <v>1175</v>
      </c>
      <c r="C358" s="3" t="s">
        <v>1144</v>
      </c>
      <c r="D358" s="4" t="s">
        <v>690</v>
      </c>
      <c r="E358" s="4" t="s">
        <v>1201</v>
      </c>
    </row>
    <row r="359" spans="1:5" hidden="1" x14ac:dyDescent="0.2">
      <c r="A359" s="3" t="s">
        <v>1141</v>
      </c>
      <c r="B359" s="7" t="s">
        <v>1229</v>
      </c>
      <c r="C359" s="3" t="s">
        <v>1140</v>
      </c>
      <c r="D359" s="4" t="s">
        <v>690</v>
      </c>
      <c r="E359" s="4" t="s">
        <v>1201</v>
      </c>
    </row>
    <row r="360" spans="1:5" hidden="1" x14ac:dyDescent="0.2">
      <c r="A360" s="3" t="s">
        <v>1143</v>
      </c>
      <c r="B360" s="7" t="s">
        <v>1174</v>
      </c>
      <c r="C360" s="3" t="s">
        <v>1142</v>
      </c>
      <c r="D360" s="4" t="s">
        <v>690</v>
      </c>
      <c r="E360" s="4" t="s">
        <v>1201</v>
      </c>
    </row>
    <row r="361" spans="1:5" hidden="1" x14ac:dyDescent="0.2">
      <c r="A361" s="3" t="s">
        <v>1133</v>
      </c>
      <c r="B361" s="7" t="s">
        <v>1170</v>
      </c>
      <c r="C361" s="3" t="s">
        <v>1132</v>
      </c>
      <c r="D361" s="4" t="s">
        <v>690</v>
      </c>
      <c r="E361" s="4" t="s">
        <v>1201</v>
      </c>
    </row>
    <row r="362" spans="1:5" hidden="1" x14ac:dyDescent="0.2">
      <c r="A362" s="4" t="s">
        <v>464</v>
      </c>
      <c r="B362" s="4" t="s">
        <v>465</v>
      </c>
      <c r="C362" s="4">
        <v>21018</v>
      </c>
      <c r="D362" s="4" t="s">
        <v>690</v>
      </c>
      <c r="E362" s="4" t="s">
        <v>1201</v>
      </c>
    </row>
    <row r="363" spans="1:5" hidden="1" x14ac:dyDescent="0.2">
      <c r="A363" s="4" t="s">
        <v>466</v>
      </c>
      <c r="B363" s="4" t="s">
        <v>670</v>
      </c>
      <c r="C363" s="4">
        <v>21012</v>
      </c>
      <c r="D363" s="4" t="s">
        <v>690</v>
      </c>
      <c r="E363" s="4" t="s">
        <v>1201</v>
      </c>
    </row>
    <row r="364" spans="1:5" hidden="1" x14ac:dyDescent="0.2">
      <c r="A364" s="4" t="s">
        <v>467</v>
      </c>
      <c r="B364" s="4" t="s">
        <v>468</v>
      </c>
      <c r="C364" s="4">
        <v>11717</v>
      </c>
      <c r="D364" s="4" t="s">
        <v>690</v>
      </c>
      <c r="E364" s="4" t="s">
        <v>1201</v>
      </c>
    </row>
    <row r="365" spans="1:5" hidden="1" x14ac:dyDescent="0.2">
      <c r="A365" s="4" t="s">
        <v>469</v>
      </c>
      <c r="B365" s="4" t="s">
        <v>470</v>
      </c>
      <c r="C365" s="4">
        <v>14010</v>
      </c>
      <c r="D365" s="4" t="s">
        <v>690</v>
      </c>
      <c r="E365" s="4" t="s">
        <v>1201</v>
      </c>
    </row>
    <row r="366" spans="1:5" hidden="1" x14ac:dyDescent="0.2">
      <c r="A366" s="4" t="s">
        <v>471</v>
      </c>
      <c r="B366" s="4" t="s">
        <v>671</v>
      </c>
      <c r="C366" s="4">
        <v>21403</v>
      </c>
      <c r="D366" s="4" t="s">
        <v>690</v>
      </c>
      <c r="E366" s="4" t="s">
        <v>1201</v>
      </c>
    </row>
    <row r="367" spans="1:5" hidden="1" x14ac:dyDescent="0.2">
      <c r="A367" s="3" t="s">
        <v>1139</v>
      </c>
      <c r="B367" s="7" t="s">
        <v>1173</v>
      </c>
      <c r="C367" s="3" t="s">
        <v>1138</v>
      </c>
      <c r="D367" s="4" t="s">
        <v>690</v>
      </c>
      <c r="E367" s="4" t="s">
        <v>1201</v>
      </c>
    </row>
    <row r="368" spans="1:5" hidden="1" x14ac:dyDescent="0.2">
      <c r="A368" s="3" t="s">
        <v>1137</v>
      </c>
      <c r="B368" s="7" t="s">
        <v>1172</v>
      </c>
      <c r="C368" s="3" t="s">
        <v>1136</v>
      </c>
      <c r="D368" s="4" t="s">
        <v>690</v>
      </c>
      <c r="E368" s="4" t="s">
        <v>1201</v>
      </c>
    </row>
    <row r="369" spans="1:5" hidden="1" x14ac:dyDescent="0.2">
      <c r="A369" s="3" t="s">
        <v>1107</v>
      </c>
      <c r="B369" s="7" t="s">
        <v>1157</v>
      </c>
      <c r="C369" s="3" t="s">
        <v>1106</v>
      </c>
      <c r="D369" s="4" t="s">
        <v>690</v>
      </c>
      <c r="E369" s="4" t="s">
        <v>1201</v>
      </c>
    </row>
    <row r="370" spans="1:5" hidden="1" x14ac:dyDescent="0.2">
      <c r="A370" s="4" t="s">
        <v>472</v>
      </c>
      <c r="B370" s="4" t="s">
        <v>672</v>
      </c>
      <c r="C370" s="4">
        <v>18983</v>
      </c>
      <c r="D370" s="4" t="s">
        <v>690</v>
      </c>
      <c r="E370" s="4" t="s">
        <v>1201</v>
      </c>
    </row>
    <row r="371" spans="1:5" hidden="1" x14ac:dyDescent="0.2">
      <c r="A371" s="4" t="s">
        <v>473</v>
      </c>
      <c r="B371" s="4" t="s">
        <v>673</v>
      </c>
      <c r="C371" s="4">
        <v>12190</v>
      </c>
      <c r="D371" s="4" t="s">
        <v>690</v>
      </c>
      <c r="E371" s="4" t="s">
        <v>1201</v>
      </c>
    </row>
    <row r="372" spans="1:5" hidden="1" x14ac:dyDescent="0.2">
      <c r="A372" s="4" t="s">
        <v>474</v>
      </c>
      <c r="B372" s="4" t="s">
        <v>674</v>
      </c>
      <c r="C372" s="4">
        <v>21016</v>
      </c>
      <c r="D372" s="4" t="s">
        <v>690</v>
      </c>
      <c r="E372" s="4" t="s">
        <v>1201</v>
      </c>
    </row>
    <row r="373" spans="1:5" hidden="1" x14ac:dyDescent="0.2">
      <c r="A373" s="4" t="s">
        <v>475</v>
      </c>
      <c r="B373" s="4" t="s">
        <v>675</v>
      </c>
      <c r="C373" s="4">
        <v>5862</v>
      </c>
      <c r="D373" s="4" t="s">
        <v>690</v>
      </c>
      <c r="E373" s="4" t="s">
        <v>1201</v>
      </c>
    </row>
    <row r="374" spans="1:5" hidden="1" x14ac:dyDescent="0.2">
      <c r="A374" s="8" t="s">
        <v>476</v>
      </c>
      <c r="B374" s="4" t="s">
        <v>676</v>
      </c>
      <c r="C374" s="4">
        <v>21616</v>
      </c>
      <c r="D374" s="4" t="s">
        <v>690</v>
      </c>
      <c r="E374" s="4" t="s">
        <v>1201</v>
      </c>
    </row>
    <row r="375" spans="1:5" hidden="1" x14ac:dyDescent="0.2">
      <c r="A375" s="4" t="s">
        <v>477</v>
      </c>
      <c r="B375" s="4" t="s">
        <v>478</v>
      </c>
      <c r="C375" s="4">
        <v>21625</v>
      </c>
      <c r="D375" s="4" t="s">
        <v>690</v>
      </c>
      <c r="E375" s="4" t="s">
        <v>1201</v>
      </c>
    </row>
    <row r="376" spans="1:5" hidden="1" x14ac:dyDescent="0.2">
      <c r="A376" s="4" t="s">
        <v>162</v>
      </c>
      <c r="B376" s="4" t="s">
        <v>479</v>
      </c>
      <c r="C376" s="4">
        <v>14129</v>
      </c>
      <c r="D376" s="4" t="s">
        <v>690</v>
      </c>
      <c r="E376" s="4" t="s">
        <v>1201</v>
      </c>
    </row>
    <row r="377" spans="1:5" hidden="1" x14ac:dyDescent="0.2">
      <c r="A377" s="4" t="s">
        <v>480</v>
      </c>
      <c r="B377" s="4" t="s">
        <v>677</v>
      </c>
      <c r="C377" s="4">
        <v>4551</v>
      </c>
      <c r="D377" s="4" t="s">
        <v>690</v>
      </c>
      <c r="E377" s="4" t="s">
        <v>1201</v>
      </c>
    </row>
    <row r="378" spans="1:5" hidden="1" x14ac:dyDescent="0.2">
      <c r="A378" s="4" t="s">
        <v>481</v>
      </c>
      <c r="B378" s="4" t="s">
        <v>678</v>
      </c>
      <c r="C378" s="4">
        <v>2056</v>
      </c>
      <c r="D378" s="4" t="s">
        <v>690</v>
      </c>
      <c r="E378" s="4" t="s">
        <v>1201</v>
      </c>
    </row>
    <row r="379" spans="1:5" hidden="1" x14ac:dyDescent="0.2">
      <c r="A379" s="3" t="s">
        <v>1101</v>
      </c>
      <c r="B379" s="7" t="s">
        <v>1154</v>
      </c>
      <c r="C379" s="3" t="s">
        <v>1100</v>
      </c>
      <c r="D379" s="4" t="s">
        <v>690</v>
      </c>
      <c r="E379" s="4" t="s">
        <v>1201</v>
      </c>
    </row>
    <row r="380" spans="1:5" hidden="1" x14ac:dyDescent="0.2">
      <c r="A380" s="4" t="s">
        <v>482</v>
      </c>
      <c r="B380" s="4" t="s">
        <v>679</v>
      </c>
      <c r="C380" s="4">
        <v>21006</v>
      </c>
      <c r="D380" s="4" t="s">
        <v>690</v>
      </c>
      <c r="E380" s="4" t="s">
        <v>1201</v>
      </c>
    </row>
    <row r="381" spans="1:5" hidden="1" x14ac:dyDescent="0.2">
      <c r="A381" s="4" t="s">
        <v>483</v>
      </c>
      <c r="B381" s="4" t="s">
        <v>484</v>
      </c>
      <c r="C381" s="4">
        <v>21009</v>
      </c>
      <c r="D381" s="4" t="s">
        <v>690</v>
      </c>
      <c r="E381" s="4" t="s">
        <v>1201</v>
      </c>
    </row>
    <row r="382" spans="1:5" hidden="1" x14ac:dyDescent="0.2">
      <c r="A382" s="4" t="s">
        <v>485</v>
      </c>
      <c r="B382" s="4"/>
      <c r="C382" s="4">
        <v>21666</v>
      </c>
      <c r="D382" s="4" t="s">
        <v>690</v>
      </c>
      <c r="E382" s="4" t="s">
        <v>1201</v>
      </c>
    </row>
    <row r="383" spans="1:5" hidden="1" x14ac:dyDescent="0.2">
      <c r="A383" s="4" t="s">
        <v>486</v>
      </c>
      <c r="B383" s="4" t="s">
        <v>680</v>
      </c>
      <c r="C383" s="4">
        <v>7018</v>
      </c>
      <c r="D383" s="4" t="s">
        <v>690</v>
      </c>
      <c r="E383" s="4" t="s">
        <v>1202</v>
      </c>
    </row>
    <row r="384" spans="1:5" hidden="1" x14ac:dyDescent="0.2">
      <c r="A384" s="4" t="s">
        <v>487</v>
      </c>
      <c r="B384" s="4" t="s">
        <v>681</v>
      </c>
      <c r="C384" s="4">
        <v>21284</v>
      </c>
      <c r="D384" s="4" t="s">
        <v>690</v>
      </c>
      <c r="E384" s="4" t="s">
        <v>1202</v>
      </c>
    </row>
    <row r="385" spans="1:5" hidden="1" x14ac:dyDescent="0.2">
      <c r="A385" s="3" t="s">
        <v>1119</v>
      </c>
      <c r="B385" s="7" t="s">
        <v>1163</v>
      </c>
      <c r="C385" s="3" t="s">
        <v>1118</v>
      </c>
      <c r="D385" s="4" t="s">
        <v>690</v>
      </c>
      <c r="E385" s="4" t="s">
        <v>1202</v>
      </c>
    </row>
    <row r="386" spans="1:5" hidden="1" x14ac:dyDescent="0.2">
      <c r="A386" s="3" t="s">
        <v>1113</v>
      </c>
      <c r="B386" s="7" t="s">
        <v>1160</v>
      </c>
      <c r="C386" s="3" t="s">
        <v>1112</v>
      </c>
      <c r="D386" s="4" t="s">
        <v>690</v>
      </c>
      <c r="E386" s="4" t="s">
        <v>1202</v>
      </c>
    </row>
    <row r="387" spans="1:5" hidden="1" x14ac:dyDescent="0.2">
      <c r="A387" s="3" t="s">
        <v>1115</v>
      </c>
      <c r="B387" s="7" t="s">
        <v>1161</v>
      </c>
      <c r="C387" s="3" t="s">
        <v>1114</v>
      </c>
      <c r="D387" s="4" t="s">
        <v>690</v>
      </c>
      <c r="E387" s="4" t="s">
        <v>1202</v>
      </c>
    </row>
    <row r="388" spans="1:5" hidden="1" x14ac:dyDescent="0.2">
      <c r="A388" s="4" t="s">
        <v>488</v>
      </c>
      <c r="B388" s="4" t="s">
        <v>682</v>
      </c>
      <c r="C388" s="4">
        <v>21446</v>
      </c>
      <c r="D388" s="4" t="s">
        <v>690</v>
      </c>
      <c r="E388" s="4" t="s">
        <v>1202</v>
      </c>
    </row>
    <row r="389" spans="1:5" hidden="1" x14ac:dyDescent="0.2">
      <c r="A389" s="4" t="s">
        <v>489</v>
      </c>
      <c r="B389" s="4" t="s">
        <v>683</v>
      </c>
      <c r="C389" s="4">
        <v>11817</v>
      </c>
      <c r="D389" s="4" t="s">
        <v>690</v>
      </c>
      <c r="E389" s="4" t="s">
        <v>1203</v>
      </c>
    </row>
    <row r="390" spans="1:5" hidden="1" x14ac:dyDescent="0.2">
      <c r="A390" s="4" t="s">
        <v>490</v>
      </c>
      <c r="B390" s="4" t="s">
        <v>684</v>
      </c>
      <c r="C390" s="4">
        <v>17655</v>
      </c>
      <c r="D390" s="4" t="s">
        <v>690</v>
      </c>
      <c r="E390" s="4" t="s">
        <v>1203</v>
      </c>
    </row>
    <row r="391" spans="1:5" hidden="1" x14ac:dyDescent="0.2">
      <c r="A391" s="4" t="s">
        <v>491</v>
      </c>
      <c r="B391" s="4" t="s">
        <v>685</v>
      </c>
      <c r="C391" s="4">
        <v>10221</v>
      </c>
      <c r="D391" s="4" t="s">
        <v>690</v>
      </c>
      <c r="E391" s="4" t="s">
        <v>1203</v>
      </c>
    </row>
    <row r="392" spans="1:5" hidden="1" x14ac:dyDescent="0.2">
      <c r="A392" s="4" t="s">
        <v>492</v>
      </c>
      <c r="B392" s="6" t="s">
        <v>686</v>
      </c>
      <c r="C392" s="4">
        <v>9023</v>
      </c>
      <c r="D392" s="4" t="s">
        <v>690</v>
      </c>
      <c r="E392" s="4" t="s">
        <v>1206</v>
      </c>
    </row>
    <row r="393" spans="1:5" hidden="1" x14ac:dyDescent="0.2">
      <c r="A393" s="4" t="s">
        <v>492</v>
      </c>
      <c r="B393" s="6" t="s">
        <v>687</v>
      </c>
      <c r="C393" s="4">
        <v>9023</v>
      </c>
      <c r="D393" s="4" t="s">
        <v>690</v>
      </c>
      <c r="E393" s="4" t="s">
        <v>1206</v>
      </c>
    </row>
    <row r="394" spans="1:5" hidden="1" x14ac:dyDescent="0.2">
      <c r="A394" s="4" t="s">
        <v>493</v>
      </c>
      <c r="B394" s="4" t="s">
        <v>688</v>
      </c>
      <c r="C394" s="4">
        <v>10947</v>
      </c>
      <c r="D394" s="4" t="s">
        <v>690</v>
      </c>
      <c r="E394" s="4" t="s">
        <v>1207</v>
      </c>
    </row>
    <row r="395" spans="1:5" hidden="1" x14ac:dyDescent="0.2">
      <c r="A395" s="3" t="s">
        <v>1153</v>
      </c>
      <c r="B395" s="7" t="s">
        <v>1179</v>
      </c>
      <c r="C395" s="3" t="s">
        <v>1152</v>
      </c>
      <c r="D395" s="4" t="s">
        <v>690</v>
      </c>
      <c r="E395" s="4" t="s">
        <v>1207</v>
      </c>
    </row>
    <row r="396" spans="1:5" hidden="1" x14ac:dyDescent="0.2">
      <c r="A396" s="3" t="s">
        <v>1125</v>
      </c>
      <c r="B396" s="7" t="s">
        <v>1166</v>
      </c>
      <c r="C396" s="3" t="s">
        <v>1124</v>
      </c>
      <c r="D396" s="4" t="s">
        <v>690</v>
      </c>
      <c r="E396" s="4" t="s">
        <v>1207</v>
      </c>
    </row>
    <row r="397" spans="1:5" hidden="1" x14ac:dyDescent="0.2">
      <c r="A397" s="3" t="s">
        <v>1121</v>
      </c>
      <c r="B397" s="7" t="s">
        <v>1164</v>
      </c>
      <c r="C397" s="3" t="s">
        <v>1120</v>
      </c>
      <c r="D397" s="4" t="s">
        <v>690</v>
      </c>
      <c r="E397" s="4" t="s">
        <v>1207</v>
      </c>
    </row>
    <row r="398" spans="1:5" hidden="1" x14ac:dyDescent="0.2">
      <c r="A398" s="3" t="s">
        <v>1123</v>
      </c>
      <c r="B398" s="7" t="s">
        <v>1165</v>
      </c>
      <c r="C398" s="3" t="s">
        <v>1122</v>
      </c>
      <c r="D398" s="4" t="s">
        <v>690</v>
      </c>
      <c r="E398" s="4" t="s">
        <v>1207</v>
      </c>
    </row>
    <row r="399" spans="1:5" hidden="1" x14ac:dyDescent="0.2">
      <c r="A399" s="3" t="s">
        <v>1105</v>
      </c>
      <c r="B399" s="7" t="s">
        <v>1156</v>
      </c>
      <c r="C399" s="3" t="s">
        <v>1104</v>
      </c>
      <c r="D399" s="4" t="s">
        <v>690</v>
      </c>
      <c r="E399" s="4" t="s">
        <v>1207</v>
      </c>
    </row>
    <row r="400" spans="1:5" hidden="1" x14ac:dyDescent="0.2">
      <c r="A400" s="3" t="s">
        <v>24</v>
      </c>
      <c r="B400" s="7" t="s">
        <v>691</v>
      </c>
      <c r="C400" s="4">
        <v>4500</v>
      </c>
      <c r="D400" s="4" t="s">
        <v>1099</v>
      </c>
      <c r="E400" s="4" t="s">
        <v>1242</v>
      </c>
    </row>
    <row r="401" spans="1:5" hidden="1" x14ac:dyDescent="0.2">
      <c r="A401" s="15" t="s">
        <v>847</v>
      </c>
      <c r="B401" s="15" t="s">
        <v>692</v>
      </c>
      <c r="C401" s="14">
        <v>4039</v>
      </c>
      <c r="D401" s="14" t="s">
        <v>1099</v>
      </c>
      <c r="E401" s="14" t="s">
        <v>1200</v>
      </c>
    </row>
    <row r="402" spans="1:5" hidden="1" x14ac:dyDescent="0.2">
      <c r="A402" s="15" t="s">
        <v>848</v>
      </c>
      <c r="B402" s="15" t="s">
        <v>693</v>
      </c>
      <c r="C402" s="14">
        <v>10734</v>
      </c>
      <c r="D402" s="14" t="s">
        <v>1099</v>
      </c>
      <c r="E402" s="14" t="s">
        <v>1200</v>
      </c>
    </row>
    <row r="403" spans="1:5" hidden="1" x14ac:dyDescent="0.2">
      <c r="A403" s="15" t="s">
        <v>849</v>
      </c>
      <c r="B403" s="15" t="s">
        <v>694</v>
      </c>
      <c r="C403" s="14">
        <v>12113</v>
      </c>
      <c r="D403" s="14" t="s">
        <v>1099</v>
      </c>
      <c r="E403" s="14" t="s">
        <v>1200</v>
      </c>
    </row>
    <row r="404" spans="1:5" hidden="1" x14ac:dyDescent="0.2">
      <c r="A404" s="15" t="s">
        <v>850</v>
      </c>
      <c r="B404" s="15" t="s">
        <v>695</v>
      </c>
      <c r="C404" s="14"/>
      <c r="D404" s="14" t="s">
        <v>1099</v>
      </c>
      <c r="E404" s="14" t="s">
        <v>1200</v>
      </c>
    </row>
    <row r="405" spans="1:5" hidden="1" x14ac:dyDescent="0.2">
      <c r="A405" s="7" t="s">
        <v>851</v>
      </c>
      <c r="B405" s="7" t="s">
        <v>696</v>
      </c>
      <c r="C405" s="4">
        <v>1301</v>
      </c>
      <c r="D405" s="4" t="s">
        <v>1099</v>
      </c>
      <c r="E405" s="4" t="s">
        <v>1202</v>
      </c>
    </row>
    <row r="406" spans="1:5" hidden="1" x14ac:dyDescent="0.2">
      <c r="A406" s="7" t="s">
        <v>852</v>
      </c>
      <c r="B406" s="7" t="s">
        <v>697</v>
      </c>
      <c r="C406" s="18">
        <v>6601</v>
      </c>
      <c r="D406" s="4" t="s">
        <v>1099</v>
      </c>
      <c r="E406" s="4" t="s">
        <v>1203</v>
      </c>
    </row>
    <row r="407" spans="1:5" hidden="1" x14ac:dyDescent="0.2">
      <c r="A407" s="7" t="s">
        <v>853</v>
      </c>
      <c r="B407" s="7" t="s">
        <v>698</v>
      </c>
      <c r="C407" s="4">
        <v>4115</v>
      </c>
      <c r="D407" s="4" t="s">
        <v>1099</v>
      </c>
      <c r="E407" s="4" t="s">
        <v>1202</v>
      </c>
    </row>
    <row r="408" spans="1:5" hidden="1" x14ac:dyDescent="0.2">
      <c r="A408" s="15" t="s">
        <v>854</v>
      </c>
      <c r="B408" s="15" t="s">
        <v>699</v>
      </c>
      <c r="C408" s="14">
        <v>15532</v>
      </c>
      <c r="D408" s="14" t="s">
        <v>1099</v>
      </c>
      <c r="E408" s="14" t="s">
        <v>1200</v>
      </c>
    </row>
    <row r="409" spans="1:5" hidden="1" x14ac:dyDescent="0.2">
      <c r="A409" s="7" t="s">
        <v>855</v>
      </c>
      <c r="B409" s="7" t="s">
        <v>700</v>
      </c>
      <c r="C409" s="4">
        <v>15829</v>
      </c>
      <c r="D409" s="4" t="s">
        <v>1099</v>
      </c>
      <c r="E409" s="4" t="s">
        <v>1206</v>
      </c>
    </row>
    <row r="410" spans="1:5" hidden="1" x14ac:dyDescent="0.2">
      <c r="A410" s="15" t="s">
        <v>856</v>
      </c>
      <c r="B410" s="15" t="s">
        <v>701</v>
      </c>
      <c r="C410" s="14">
        <v>6083</v>
      </c>
      <c r="D410" s="14" t="s">
        <v>1099</v>
      </c>
      <c r="E410" s="14" t="s">
        <v>1200</v>
      </c>
    </row>
    <row r="411" spans="1:5" hidden="1" x14ac:dyDescent="0.2">
      <c r="A411" s="7" t="s">
        <v>857</v>
      </c>
      <c r="B411" s="7" t="s">
        <v>702</v>
      </c>
      <c r="C411" s="4">
        <v>2836</v>
      </c>
      <c r="D411" s="4" t="s">
        <v>1099</v>
      </c>
      <c r="E411" s="4" t="s">
        <v>1202</v>
      </c>
    </row>
    <row r="412" spans="1:5" hidden="1" x14ac:dyDescent="0.2">
      <c r="A412" s="15" t="s">
        <v>858</v>
      </c>
      <c r="B412" s="15" t="s">
        <v>703</v>
      </c>
      <c r="C412" s="14">
        <v>15091</v>
      </c>
      <c r="D412" s="14" t="s">
        <v>1099</v>
      </c>
      <c r="E412" s="14" t="s">
        <v>1200</v>
      </c>
    </row>
    <row r="413" spans="1:5" hidden="1" x14ac:dyDescent="0.2">
      <c r="A413" s="7" t="s">
        <v>859</v>
      </c>
      <c r="B413" s="7" t="s">
        <v>704</v>
      </c>
      <c r="C413" s="4">
        <v>16393</v>
      </c>
      <c r="D413" s="4" t="s">
        <v>1099</v>
      </c>
      <c r="E413" s="4" t="s">
        <v>1202</v>
      </c>
    </row>
    <row r="414" spans="1:5" hidden="1" x14ac:dyDescent="0.2">
      <c r="A414" s="15" t="s">
        <v>860</v>
      </c>
      <c r="B414" s="15" t="s">
        <v>705</v>
      </c>
      <c r="C414" s="14">
        <v>5073</v>
      </c>
      <c r="D414" s="14" t="s">
        <v>1099</v>
      </c>
      <c r="E414" s="14" t="s">
        <v>1200</v>
      </c>
    </row>
    <row r="415" spans="1:5" hidden="1" x14ac:dyDescent="0.2">
      <c r="A415" s="15" t="s">
        <v>861</v>
      </c>
      <c r="B415" s="15" t="s">
        <v>706</v>
      </c>
      <c r="C415" s="14">
        <v>9536</v>
      </c>
      <c r="D415" s="14" t="s">
        <v>1099</v>
      </c>
      <c r="E415" s="14" t="s">
        <v>1200</v>
      </c>
    </row>
    <row r="416" spans="1:5" hidden="1" x14ac:dyDescent="0.2">
      <c r="A416" s="7" t="s">
        <v>862</v>
      </c>
      <c r="B416" s="7" t="s">
        <v>707</v>
      </c>
      <c r="C416" s="4">
        <v>11399</v>
      </c>
      <c r="D416" s="4" t="s">
        <v>1099</v>
      </c>
      <c r="E416" s="4" t="s">
        <v>1201</v>
      </c>
    </row>
    <row r="417" spans="1:5" hidden="1" x14ac:dyDescent="0.2">
      <c r="A417" s="15" t="s">
        <v>856</v>
      </c>
      <c r="B417" s="15" t="s">
        <v>708</v>
      </c>
      <c r="C417" s="14">
        <v>6083</v>
      </c>
      <c r="D417" s="14" t="s">
        <v>1099</v>
      </c>
      <c r="E417" s="14" t="s">
        <v>1200</v>
      </c>
    </row>
    <row r="418" spans="1:5" hidden="1" x14ac:dyDescent="0.2">
      <c r="A418" s="7" t="s">
        <v>863</v>
      </c>
      <c r="B418" s="7" t="s">
        <v>709</v>
      </c>
      <c r="C418" s="4">
        <v>2974</v>
      </c>
      <c r="D418" s="4" t="s">
        <v>1099</v>
      </c>
      <c r="E418" s="4" t="s">
        <v>1202</v>
      </c>
    </row>
    <row r="419" spans="1:5" hidden="1" x14ac:dyDescent="0.2">
      <c r="A419" s="6" t="s">
        <v>864</v>
      </c>
      <c r="B419" s="7" t="s">
        <v>710</v>
      </c>
      <c r="C419" s="4">
        <v>13774</v>
      </c>
      <c r="D419" s="4" t="s">
        <v>1099</v>
      </c>
      <c r="E419" s="4" t="s">
        <v>1206</v>
      </c>
    </row>
    <row r="420" spans="1:5" hidden="1" x14ac:dyDescent="0.2">
      <c r="A420" s="7" t="s">
        <v>865</v>
      </c>
      <c r="B420" s="7" t="s">
        <v>711</v>
      </c>
      <c r="C420" s="4">
        <v>15497</v>
      </c>
      <c r="D420" s="4" t="s">
        <v>1099</v>
      </c>
      <c r="E420" s="4" t="s">
        <v>1201</v>
      </c>
    </row>
    <row r="421" spans="1:5" hidden="1" x14ac:dyDescent="0.2">
      <c r="A421" s="7" t="s">
        <v>866</v>
      </c>
      <c r="B421" s="7" t="s">
        <v>712</v>
      </c>
      <c r="C421" s="4">
        <v>6044</v>
      </c>
      <c r="D421" s="4" t="s">
        <v>1099</v>
      </c>
      <c r="E421" s="4" t="s">
        <v>1207</v>
      </c>
    </row>
    <row r="422" spans="1:5" hidden="1" x14ac:dyDescent="0.2">
      <c r="A422" s="7" t="s">
        <v>867</v>
      </c>
      <c r="B422" s="7" t="s">
        <v>713</v>
      </c>
      <c r="C422" s="4">
        <v>8685</v>
      </c>
      <c r="D422" s="4" t="s">
        <v>1099</v>
      </c>
      <c r="E422" s="4" t="s">
        <v>1242</v>
      </c>
    </row>
    <row r="423" spans="1:5" hidden="1" x14ac:dyDescent="0.2">
      <c r="A423" s="7" t="s">
        <v>868</v>
      </c>
      <c r="B423" s="7" t="s">
        <v>714</v>
      </c>
      <c r="C423" s="4">
        <v>1221</v>
      </c>
      <c r="D423" s="4" t="s">
        <v>1099</v>
      </c>
      <c r="E423" s="4" t="s">
        <v>1201</v>
      </c>
    </row>
    <row r="424" spans="1:5" hidden="1" x14ac:dyDescent="0.2">
      <c r="A424" s="7" t="s">
        <v>869</v>
      </c>
      <c r="B424" s="7" t="s">
        <v>715</v>
      </c>
      <c r="C424" s="4">
        <v>2626</v>
      </c>
      <c r="D424" s="4" t="s">
        <v>1099</v>
      </c>
      <c r="E424" s="4" t="s">
        <v>1201</v>
      </c>
    </row>
    <row r="425" spans="1:5" hidden="1" x14ac:dyDescent="0.2">
      <c r="A425" s="7" t="s">
        <v>867</v>
      </c>
      <c r="B425" s="7" t="s">
        <v>716</v>
      </c>
      <c r="C425" s="4">
        <v>8685</v>
      </c>
      <c r="D425" s="4" t="s">
        <v>1099</v>
      </c>
      <c r="E425" s="4" t="s">
        <v>1242</v>
      </c>
    </row>
    <row r="426" spans="1:5" hidden="1" x14ac:dyDescent="0.2">
      <c r="A426" s="7" t="s">
        <v>870</v>
      </c>
      <c r="B426" s="7" t="s">
        <v>717</v>
      </c>
      <c r="C426" s="4">
        <v>10128</v>
      </c>
      <c r="D426" s="4" t="s">
        <v>1099</v>
      </c>
      <c r="E426" s="4" t="s">
        <v>1201</v>
      </c>
    </row>
    <row r="427" spans="1:5" hidden="1" x14ac:dyDescent="0.2">
      <c r="A427" s="7" t="s">
        <v>871</v>
      </c>
      <c r="B427" s="7" t="s">
        <v>718</v>
      </c>
      <c r="C427" s="4">
        <v>5893</v>
      </c>
      <c r="D427" s="4" t="s">
        <v>1099</v>
      </c>
      <c r="E427" s="4" t="s">
        <v>1202</v>
      </c>
    </row>
    <row r="428" spans="1:5" hidden="1" x14ac:dyDescent="0.2">
      <c r="A428" s="7" t="s">
        <v>872</v>
      </c>
      <c r="B428" s="7" t="s">
        <v>719</v>
      </c>
      <c r="C428" s="4">
        <v>8380</v>
      </c>
      <c r="D428" s="4" t="s">
        <v>1099</v>
      </c>
      <c r="E428" s="4" t="s">
        <v>1202</v>
      </c>
    </row>
    <row r="429" spans="1:5" hidden="1" x14ac:dyDescent="0.2">
      <c r="A429" s="7" t="s">
        <v>873</v>
      </c>
      <c r="B429" s="7" t="s">
        <v>720</v>
      </c>
      <c r="C429" s="4">
        <v>10128</v>
      </c>
      <c r="D429" s="4" t="s">
        <v>1099</v>
      </c>
      <c r="E429" s="4" t="s">
        <v>1201</v>
      </c>
    </row>
    <row r="430" spans="1:5" hidden="1" x14ac:dyDescent="0.2">
      <c r="A430" s="7" t="s">
        <v>873</v>
      </c>
      <c r="B430" s="7" t="s">
        <v>721</v>
      </c>
      <c r="C430" s="4">
        <v>10128</v>
      </c>
      <c r="D430" s="4" t="s">
        <v>1099</v>
      </c>
      <c r="E430" s="4" t="s">
        <v>1201</v>
      </c>
    </row>
    <row r="431" spans="1:5" hidden="1" x14ac:dyDescent="0.2">
      <c r="A431" s="15" t="s">
        <v>874</v>
      </c>
      <c r="B431" s="15" t="s">
        <v>722</v>
      </c>
      <c r="C431" s="14">
        <v>2200</v>
      </c>
      <c r="D431" s="14" t="s">
        <v>1099</v>
      </c>
      <c r="E431" s="14" t="s">
        <v>1200</v>
      </c>
    </row>
    <row r="432" spans="1:5" hidden="1" x14ac:dyDescent="0.2">
      <c r="A432" s="15" t="s">
        <v>875</v>
      </c>
      <c r="B432" s="15" t="s">
        <v>723</v>
      </c>
      <c r="C432" s="14">
        <v>17199</v>
      </c>
      <c r="D432" s="14" t="s">
        <v>1099</v>
      </c>
      <c r="E432" s="14" t="s">
        <v>1200</v>
      </c>
    </row>
    <row r="433" spans="1:5" hidden="1" x14ac:dyDescent="0.2">
      <c r="A433" s="7" t="s">
        <v>1233</v>
      </c>
      <c r="B433" s="7" t="s">
        <v>724</v>
      </c>
      <c r="C433" s="4">
        <v>9497</v>
      </c>
      <c r="D433" s="4" t="s">
        <v>1099</v>
      </c>
      <c r="E433" s="4" t="s">
        <v>1202</v>
      </c>
    </row>
    <row r="434" spans="1:5" hidden="1" x14ac:dyDescent="0.2">
      <c r="A434" s="15" t="s">
        <v>876</v>
      </c>
      <c r="B434" s="15" t="s">
        <v>725</v>
      </c>
      <c r="C434" s="14">
        <v>7638</v>
      </c>
      <c r="D434" s="14" t="s">
        <v>1099</v>
      </c>
      <c r="E434" s="14" t="s">
        <v>1200</v>
      </c>
    </row>
    <row r="435" spans="1:5" hidden="1" x14ac:dyDescent="0.2">
      <c r="A435" s="7" t="s">
        <v>877</v>
      </c>
      <c r="B435" s="7" t="s">
        <v>726</v>
      </c>
      <c r="C435" s="4">
        <v>12837</v>
      </c>
      <c r="D435" s="4" t="s">
        <v>1099</v>
      </c>
      <c r="E435" s="4" t="s">
        <v>1242</v>
      </c>
    </row>
    <row r="436" spans="1:5" hidden="1" x14ac:dyDescent="0.2">
      <c r="A436" s="7" t="s">
        <v>1234</v>
      </c>
      <c r="B436" s="7" t="s">
        <v>727</v>
      </c>
      <c r="C436" s="4">
        <v>17655</v>
      </c>
      <c r="D436" s="4" t="s">
        <v>1099</v>
      </c>
      <c r="E436" s="4" t="s">
        <v>1203</v>
      </c>
    </row>
    <row r="437" spans="1:5" hidden="1" x14ac:dyDescent="0.2">
      <c r="A437" s="7" t="s">
        <v>878</v>
      </c>
      <c r="B437" s="7" t="s">
        <v>728</v>
      </c>
      <c r="C437" s="4"/>
      <c r="D437" s="4" t="s">
        <v>1099</v>
      </c>
      <c r="E437" s="4" t="s">
        <v>1207</v>
      </c>
    </row>
    <row r="438" spans="1:5" hidden="1" x14ac:dyDescent="0.2">
      <c r="A438" s="15" t="s">
        <v>879</v>
      </c>
      <c r="B438" s="15" t="s">
        <v>729</v>
      </c>
      <c r="C438" s="14">
        <v>13632</v>
      </c>
      <c r="D438" s="14" t="s">
        <v>1099</v>
      </c>
      <c r="E438" s="14" t="s">
        <v>1200</v>
      </c>
    </row>
    <row r="439" spans="1:5" hidden="1" x14ac:dyDescent="0.2">
      <c r="A439" s="7" t="s">
        <v>880</v>
      </c>
      <c r="B439" s="7" t="s">
        <v>730</v>
      </c>
      <c r="C439" s="4">
        <v>9524</v>
      </c>
      <c r="D439" s="4" t="s">
        <v>1099</v>
      </c>
      <c r="E439" s="4" t="s">
        <v>1202</v>
      </c>
    </row>
    <row r="440" spans="1:5" hidden="1" x14ac:dyDescent="0.2">
      <c r="A440" s="7" t="s">
        <v>1239</v>
      </c>
      <c r="B440" s="7" t="s">
        <v>731</v>
      </c>
      <c r="C440" s="4">
        <v>6022</v>
      </c>
      <c r="D440" s="4" t="s">
        <v>1099</v>
      </c>
      <c r="E440" s="4" t="s">
        <v>1241</v>
      </c>
    </row>
    <row r="441" spans="1:5" hidden="1" x14ac:dyDescent="0.2">
      <c r="A441" s="15" t="s">
        <v>881</v>
      </c>
      <c r="B441" s="15" t="s">
        <v>732</v>
      </c>
      <c r="C441" s="14">
        <v>12419</v>
      </c>
      <c r="D441" s="14" t="s">
        <v>1099</v>
      </c>
      <c r="E441" s="14" t="s">
        <v>1200</v>
      </c>
    </row>
    <row r="442" spans="1:5" hidden="1" x14ac:dyDescent="0.2">
      <c r="A442" s="7" t="s">
        <v>882</v>
      </c>
      <c r="B442" s="7" t="s">
        <v>733</v>
      </c>
      <c r="C442" s="4"/>
      <c r="D442" s="4" t="s">
        <v>1099</v>
      </c>
      <c r="E442" s="4" t="s">
        <v>1242</v>
      </c>
    </row>
    <row r="443" spans="1:5" hidden="1" x14ac:dyDescent="0.2">
      <c r="A443" s="7" t="s">
        <v>1235</v>
      </c>
      <c r="B443" s="7" t="s">
        <v>734</v>
      </c>
      <c r="C443" s="4">
        <v>17425</v>
      </c>
      <c r="D443" s="4" t="s">
        <v>1099</v>
      </c>
      <c r="E443" s="4" t="s">
        <v>1203</v>
      </c>
    </row>
    <row r="444" spans="1:5" hidden="1" x14ac:dyDescent="0.2">
      <c r="A444" s="7" t="s">
        <v>883</v>
      </c>
      <c r="B444" s="7" t="s">
        <v>735</v>
      </c>
      <c r="C444" s="4"/>
      <c r="D444" s="4" t="s">
        <v>1099</v>
      </c>
      <c r="E444" s="4" t="s">
        <v>1207</v>
      </c>
    </row>
    <row r="445" spans="1:5" hidden="1" x14ac:dyDescent="0.2">
      <c r="A445" s="15" t="s">
        <v>884</v>
      </c>
      <c r="B445" s="15" t="s">
        <v>736</v>
      </c>
      <c r="C445" s="14">
        <v>5968</v>
      </c>
      <c r="D445" s="14" t="s">
        <v>1099</v>
      </c>
      <c r="E445" s="14" t="s">
        <v>1200</v>
      </c>
    </row>
    <row r="446" spans="1:5" hidden="1" x14ac:dyDescent="0.2">
      <c r="A446" s="7" t="s">
        <v>877</v>
      </c>
      <c r="B446" s="7" t="s">
        <v>737</v>
      </c>
      <c r="C446" s="4">
        <v>12837</v>
      </c>
      <c r="D446" s="4" t="s">
        <v>1099</v>
      </c>
      <c r="E446" s="4" t="s">
        <v>1242</v>
      </c>
    </row>
    <row r="447" spans="1:5" hidden="1" x14ac:dyDescent="0.2">
      <c r="A447" s="7" t="s">
        <v>885</v>
      </c>
      <c r="B447" s="7" t="s">
        <v>738</v>
      </c>
      <c r="C447" s="4">
        <v>17316</v>
      </c>
      <c r="D447" s="4" t="s">
        <v>1099</v>
      </c>
      <c r="E447" s="4" t="s">
        <v>1207</v>
      </c>
    </row>
    <row r="448" spans="1:5" hidden="1" x14ac:dyDescent="0.2">
      <c r="A448" s="7" t="s">
        <v>886</v>
      </c>
      <c r="B448" s="7" t="s">
        <v>739</v>
      </c>
      <c r="C448" s="4"/>
      <c r="D448" s="4" t="s">
        <v>1099</v>
      </c>
      <c r="E448" s="4" t="s">
        <v>1206</v>
      </c>
    </row>
    <row r="449" spans="1:5" hidden="1" x14ac:dyDescent="0.2">
      <c r="A449" s="7" t="s">
        <v>887</v>
      </c>
      <c r="B449" s="7" t="s">
        <v>740</v>
      </c>
      <c r="C449" s="4"/>
      <c r="D449" s="4" t="s">
        <v>1099</v>
      </c>
      <c r="E449" s="4" t="s">
        <v>1206</v>
      </c>
    </row>
    <row r="450" spans="1:5" hidden="1" x14ac:dyDescent="0.2">
      <c r="A450" s="7" t="s">
        <v>888</v>
      </c>
      <c r="B450" s="7" t="s">
        <v>741</v>
      </c>
      <c r="C450" s="4"/>
      <c r="D450" s="4" t="s">
        <v>1099</v>
      </c>
      <c r="E450" s="4" t="s">
        <v>1206</v>
      </c>
    </row>
    <row r="451" spans="1:5" hidden="1" x14ac:dyDescent="0.2">
      <c r="A451" s="7" t="s">
        <v>1236</v>
      </c>
      <c r="B451" s="7" t="s">
        <v>742</v>
      </c>
      <c r="C451" s="4">
        <v>18699</v>
      </c>
      <c r="D451" s="4" t="s">
        <v>1099</v>
      </c>
      <c r="E451" s="4" t="s">
        <v>1203</v>
      </c>
    </row>
    <row r="452" spans="1:5" hidden="1" x14ac:dyDescent="0.2">
      <c r="A452" s="7" t="s">
        <v>889</v>
      </c>
      <c r="B452" s="7" t="s">
        <v>743</v>
      </c>
      <c r="C452" s="4">
        <v>8334</v>
      </c>
      <c r="D452" s="4" t="s">
        <v>1099</v>
      </c>
      <c r="E452" s="4" t="s">
        <v>1203</v>
      </c>
    </row>
    <row r="453" spans="1:5" hidden="1" x14ac:dyDescent="0.2">
      <c r="A453" s="7" t="s">
        <v>890</v>
      </c>
      <c r="B453" s="7" t="s">
        <v>741</v>
      </c>
      <c r="C453" s="4"/>
      <c r="D453" s="4" t="s">
        <v>1099</v>
      </c>
      <c r="E453" s="4" t="s">
        <v>1203</v>
      </c>
    </row>
    <row r="454" spans="1:5" hidden="1" x14ac:dyDescent="0.2">
      <c r="A454" s="15" t="s">
        <v>891</v>
      </c>
      <c r="B454" s="15" t="s">
        <v>742</v>
      </c>
      <c r="C454" s="14">
        <v>17968</v>
      </c>
      <c r="D454" s="14" t="s">
        <v>1099</v>
      </c>
      <c r="E454" s="14" t="s">
        <v>1200</v>
      </c>
    </row>
    <row r="455" spans="1:5" hidden="1" x14ac:dyDescent="0.2">
      <c r="A455" s="15" t="s">
        <v>892</v>
      </c>
      <c r="B455" s="15" t="s">
        <v>743</v>
      </c>
      <c r="C455" s="14">
        <v>18200</v>
      </c>
      <c r="D455" s="14" t="s">
        <v>1099</v>
      </c>
      <c r="E455" s="14" t="s">
        <v>1200</v>
      </c>
    </row>
    <row r="456" spans="1:5" hidden="1" x14ac:dyDescent="0.2">
      <c r="A456" s="15" t="s">
        <v>893</v>
      </c>
      <c r="B456" s="15" t="s">
        <v>744</v>
      </c>
      <c r="C456" s="14">
        <v>3166</v>
      </c>
      <c r="D456" s="14" t="s">
        <v>1099</v>
      </c>
      <c r="E456" s="14" t="s">
        <v>1200</v>
      </c>
    </row>
    <row r="457" spans="1:5" hidden="1" x14ac:dyDescent="0.2">
      <c r="A457" s="15" t="s">
        <v>894</v>
      </c>
      <c r="B457" s="15" t="s">
        <v>745</v>
      </c>
      <c r="C457" s="14">
        <v>18409</v>
      </c>
      <c r="D457" s="14" t="s">
        <v>1099</v>
      </c>
      <c r="E457" s="14" t="s">
        <v>1200</v>
      </c>
    </row>
    <row r="458" spans="1:5" hidden="1" x14ac:dyDescent="0.2">
      <c r="A458" s="15" t="s">
        <v>895</v>
      </c>
      <c r="B458" s="15" t="s">
        <v>746</v>
      </c>
      <c r="C458" s="14"/>
      <c r="D458" s="14" t="s">
        <v>1099</v>
      </c>
      <c r="E458" s="14" t="s">
        <v>1200</v>
      </c>
    </row>
    <row r="459" spans="1:5" hidden="1" x14ac:dyDescent="0.2">
      <c r="A459" s="7" t="s">
        <v>896</v>
      </c>
      <c r="B459" s="7" t="s">
        <v>747</v>
      </c>
      <c r="C459" s="4">
        <v>1893</v>
      </c>
      <c r="D459" s="4" t="s">
        <v>1099</v>
      </c>
      <c r="E459" s="4" t="s">
        <v>1202</v>
      </c>
    </row>
    <row r="460" spans="1:5" hidden="1" x14ac:dyDescent="0.2">
      <c r="A460" s="7" t="s">
        <v>897</v>
      </c>
      <c r="B460" s="7" t="s">
        <v>748</v>
      </c>
      <c r="C460" s="4">
        <v>19604</v>
      </c>
      <c r="D460" s="4" t="s">
        <v>1099</v>
      </c>
      <c r="E460" s="4" t="s">
        <v>1201</v>
      </c>
    </row>
    <row r="461" spans="1:5" hidden="1" x14ac:dyDescent="0.2">
      <c r="A461" s="15" t="s">
        <v>898</v>
      </c>
      <c r="B461" s="15" t="s">
        <v>749</v>
      </c>
      <c r="C461" s="14">
        <v>9359</v>
      </c>
      <c r="D461" s="14" t="s">
        <v>1099</v>
      </c>
      <c r="E461" s="14" t="s">
        <v>1200</v>
      </c>
    </row>
    <row r="462" spans="1:5" hidden="1" x14ac:dyDescent="0.2">
      <c r="A462" s="15" t="s">
        <v>899</v>
      </c>
      <c r="B462" s="15" t="s">
        <v>750</v>
      </c>
      <c r="C462" s="14"/>
      <c r="D462" s="14" t="s">
        <v>1099</v>
      </c>
      <c r="E462" s="14" t="s">
        <v>1200</v>
      </c>
    </row>
    <row r="463" spans="1:5" hidden="1" x14ac:dyDescent="0.2">
      <c r="A463" s="7" t="s">
        <v>900</v>
      </c>
      <c r="B463" s="7" t="s">
        <v>751</v>
      </c>
      <c r="C463" s="4">
        <v>1432</v>
      </c>
      <c r="D463" s="4" t="s">
        <v>1099</v>
      </c>
      <c r="E463" s="4" t="s">
        <v>1202</v>
      </c>
    </row>
    <row r="464" spans="1:5" hidden="1" x14ac:dyDescent="0.2">
      <c r="A464" s="15" t="s">
        <v>901</v>
      </c>
      <c r="B464" s="15" t="s">
        <v>752</v>
      </c>
      <c r="C464" s="14">
        <v>18480</v>
      </c>
      <c r="D464" s="14" t="s">
        <v>1099</v>
      </c>
      <c r="E464" s="14" t="s">
        <v>1200</v>
      </c>
    </row>
    <row r="465" spans="1:5" hidden="1" x14ac:dyDescent="0.2">
      <c r="A465" s="15" t="s">
        <v>902</v>
      </c>
      <c r="B465" s="15" t="s">
        <v>753</v>
      </c>
      <c r="C465" s="14">
        <v>18607</v>
      </c>
      <c r="D465" s="14" t="s">
        <v>1099</v>
      </c>
      <c r="E465" s="14" t="s">
        <v>1200</v>
      </c>
    </row>
    <row r="466" spans="1:5" hidden="1" x14ac:dyDescent="0.2">
      <c r="A466" s="15" t="s">
        <v>903</v>
      </c>
      <c r="B466" s="15" t="s">
        <v>754</v>
      </c>
      <c r="C466" s="14">
        <v>18391</v>
      </c>
      <c r="D466" s="14" t="s">
        <v>1099</v>
      </c>
      <c r="E466" s="14" t="s">
        <v>1200</v>
      </c>
    </row>
    <row r="467" spans="1:5" hidden="1" x14ac:dyDescent="0.2">
      <c r="A467" s="7" t="s">
        <v>904</v>
      </c>
      <c r="B467" s="7" t="s">
        <v>755</v>
      </c>
      <c r="C467" s="4">
        <v>11769</v>
      </c>
      <c r="D467" s="4" t="s">
        <v>1099</v>
      </c>
      <c r="E467" s="4" t="s">
        <v>1207</v>
      </c>
    </row>
    <row r="468" spans="1:5" hidden="1" x14ac:dyDescent="0.2">
      <c r="A468" s="15" t="s">
        <v>905</v>
      </c>
      <c r="B468" s="15" t="s">
        <v>756</v>
      </c>
      <c r="C468" s="14">
        <v>15519</v>
      </c>
      <c r="D468" s="14" t="s">
        <v>1099</v>
      </c>
      <c r="E468" s="14" t="s">
        <v>1200</v>
      </c>
    </row>
    <row r="469" spans="1:5" hidden="1" x14ac:dyDescent="0.2">
      <c r="A469" s="15" t="s">
        <v>906</v>
      </c>
      <c r="B469" s="15" t="s">
        <v>757</v>
      </c>
      <c r="C469" s="14">
        <v>18403</v>
      </c>
      <c r="D469" s="14" t="s">
        <v>1099</v>
      </c>
      <c r="E469" s="14" t="s">
        <v>1200</v>
      </c>
    </row>
    <row r="470" spans="1:5" hidden="1" x14ac:dyDescent="0.2">
      <c r="A470" s="15" t="s">
        <v>907</v>
      </c>
      <c r="B470" s="15" t="s">
        <v>758</v>
      </c>
      <c r="C470" s="14">
        <v>15525</v>
      </c>
      <c r="D470" s="14" t="s">
        <v>1099</v>
      </c>
      <c r="E470" s="14" t="s">
        <v>1200</v>
      </c>
    </row>
    <row r="471" spans="1:5" hidden="1" x14ac:dyDescent="0.2">
      <c r="A471" s="7" t="s">
        <v>908</v>
      </c>
      <c r="B471" s="7" t="s">
        <v>759</v>
      </c>
      <c r="C471" s="4">
        <v>18189</v>
      </c>
      <c r="D471" s="4" t="s">
        <v>1099</v>
      </c>
      <c r="E471" s="4" t="s">
        <v>1207</v>
      </c>
    </row>
    <row r="472" spans="1:5" hidden="1" x14ac:dyDescent="0.2">
      <c r="A472" s="7" t="s">
        <v>909</v>
      </c>
      <c r="B472" s="7" t="s">
        <v>760</v>
      </c>
      <c r="C472" s="4">
        <v>13192</v>
      </c>
      <c r="D472" s="4" t="s">
        <v>1099</v>
      </c>
      <c r="E472" s="4" t="s">
        <v>1207</v>
      </c>
    </row>
    <row r="473" spans="1:5" hidden="1" x14ac:dyDescent="0.2">
      <c r="A473" s="15" t="s">
        <v>910</v>
      </c>
      <c r="B473" s="15" t="s">
        <v>761</v>
      </c>
      <c r="C473" s="14">
        <v>13484</v>
      </c>
      <c r="D473" s="14" t="s">
        <v>1099</v>
      </c>
      <c r="E473" s="14" t="s">
        <v>1200</v>
      </c>
    </row>
    <row r="474" spans="1:5" hidden="1" x14ac:dyDescent="0.2">
      <c r="A474" s="15" t="s">
        <v>911</v>
      </c>
      <c r="B474" s="15" t="s">
        <v>762</v>
      </c>
      <c r="C474" s="14">
        <v>8266</v>
      </c>
      <c r="D474" s="14" t="s">
        <v>1099</v>
      </c>
      <c r="E474" s="14" t="s">
        <v>1200</v>
      </c>
    </row>
    <row r="475" spans="1:5" hidden="1" x14ac:dyDescent="0.2">
      <c r="A475" s="15" t="s">
        <v>912</v>
      </c>
      <c r="B475" s="15" t="s">
        <v>763</v>
      </c>
      <c r="C475" s="14">
        <v>5794</v>
      </c>
      <c r="D475" s="14" t="s">
        <v>1099</v>
      </c>
      <c r="E475" s="14" t="s">
        <v>1200</v>
      </c>
    </row>
    <row r="476" spans="1:5" hidden="1" x14ac:dyDescent="0.2">
      <c r="A476" s="7" t="s">
        <v>913</v>
      </c>
      <c r="B476" s="7" t="s">
        <v>764</v>
      </c>
      <c r="C476" s="4">
        <v>3855</v>
      </c>
      <c r="D476" s="4" t="s">
        <v>1099</v>
      </c>
      <c r="E476" s="4" t="s">
        <v>1201</v>
      </c>
    </row>
    <row r="477" spans="1:5" hidden="1" x14ac:dyDescent="0.2">
      <c r="A477" s="15" t="s">
        <v>914</v>
      </c>
      <c r="B477" s="15" t="s">
        <v>765</v>
      </c>
      <c r="C477" s="14">
        <v>4289</v>
      </c>
      <c r="D477" s="14" t="s">
        <v>1099</v>
      </c>
      <c r="E477" s="14" t="s">
        <v>1200</v>
      </c>
    </row>
    <row r="478" spans="1:5" hidden="1" x14ac:dyDescent="0.2">
      <c r="A478" s="7" t="s">
        <v>915</v>
      </c>
      <c r="B478" s="7" t="s">
        <v>766</v>
      </c>
      <c r="C478" s="4">
        <v>3057</v>
      </c>
      <c r="D478" s="4" t="s">
        <v>1099</v>
      </c>
      <c r="E478" s="4" t="s">
        <v>1203</v>
      </c>
    </row>
    <row r="479" spans="1:5" hidden="1" x14ac:dyDescent="0.2">
      <c r="A479" s="15" t="s">
        <v>916</v>
      </c>
      <c r="B479" s="15" t="s">
        <v>767</v>
      </c>
      <c r="C479" s="14">
        <v>15534</v>
      </c>
      <c r="D479" s="14" t="s">
        <v>1099</v>
      </c>
      <c r="E479" s="14" t="s">
        <v>1200</v>
      </c>
    </row>
    <row r="480" spans="1:5" hidden="1" x14ac:dyDescent="0.2">
      <c r="A480" s="7" t="s">
        <v>917</v>
      </c>
      <c r="B480" s="7" t="s">
        <v>768</v>
      </c>
      <c r="C480" s="4">
        <v>1750</v>
      </c>
      <c r="D480" s="4" t="s">
        <v>1099</v>
      </c>
      <c r="E480" s="4" t="s">
        <v>1201</v>
      </c>
    </row>
    <row r="481" spans="1:5" hidden="1" x14ac:dyDescent="0.2">
      <c r="A481" s="7" t="s">
        <v>918</v>
      </c>
      <c r="B481" s="7" t="s">
        <v>769</v>
      </c>
      <c r="C481" s="4">
        <v>17805</v>
      </c>
      <c r="D481" s="4" t="s">
        <v>1099</v>
      </c>
      <c r="E481" s="4" t="s">
        <v>1202</v>
      </c>
    </row>
    <row r="482" spans="1:5" hidden="1" x14ac:dyDescent="0.2">
      <c r="A482" s="15" t="s">
        <v>919</v>
      </c>
      <c r="B482" s="15" t="s">
        <v>770</v>
      </c>
      <c r="C482" s="14">
        <v>8300</v>
      </c>
      <c r="D482" s="14" t="s">
        <v>1099</v>
      </c>
      <c r="E482" s="14" t="s">
        <v>1200</v>
      </c>
    </row>
    <row r="483" spans="1:5" hidden="1" x14ac:dyDescent="0.2">
      <c r="A483" s="7" t="s">
        <v>920</v>
      </c>
      <c r="B483" s="7" t="s">
        <v>771</v>
      </c>
      <c r="C483" s="4">
        <v>3670</v>
      </c>
      <c r="D483" s="4" t="s">
        <v>1099</v>
      </c>
      <c r="E483" s="4" t="s">
        <v>1201</v>
      </c>
    </row>
    <row r="484" spans="1:5" hidden="1" x14ac:dyDescent="0.2">
      <c r="A484" s="15" t="s">
        <v>921</v>
      </c>
      <c r="B484" s="15" t="s">
        <v>772</v>
      </c>
      <c r="C484" s="14"/>
      <c r="D484" s="14" t="s">
        <v>1099</v>
      </c>
      <c r="E484" s="14" t="s">
        <v>1200</v>
      </c>
    </row>
    <row r="485" spans="1:5" hidden="1" x14ac:dyDescent="0.2">
      <c r="A485" s="7" t="s">
        <v>923</v>
      </c>
      <c r="B485" s="7" t="s">
        <v>773</v>
      </c>
      <c r="C485" s="4">
        <v>9878</v>
      </c>
      <c r="D485" s="4" t="s">
        <v>1099</v>
      </c>
      <c r="E485" s="4" t="s">
        <v>1202</v>
      </c>
    </row>
    <row r="486" spans="1:5" hidden="1" x14ac:dyDescent="0.2">
      <c r="A486" s="7" t="s">
        <v>922</v>
      </c>
      <c r="B486" s="7" t="s">
        <v>774</v>
      </c>
      <c r="C486" s="4">
        <v>1528</v>
      </c>
      <c r="D486" s="4" t="s">
        <v>1099</v>
      </c>
      <c r="E486" s="4" t="s">
        <v>1202</v>
      </c>
    </row>
    <row r="487" spans="1:5" hidden="1" x14ac:dyDescent="0.2">
      <c r="A487" s="7" t="s">
        <v>924</v>
      </c>
      <c r="B487" s="7" t="s">
        <v>775</v>
      </c>
      <c r="C487" s="4"/>
      <c r="D487" s="4" t="s">
        <v>1099</v>
      </c>
      <c r="E487" s="4" t="s">
        <v>1207</v>
      </c>
    </row>
    <row r="488" spans="1:5" hidden="1" x14ac:dyDescent="0.2">
      <c r="A488" s="7" t="s">
        <v>924</v>
      </c>
      <c r="B488" s="7" t="s">
        <v>776</v>
      </c>
      <c r="C488" s="4"/>
      <c r="D488" s="4" t="s">
        <v>1099</v>
      </c>
      <c r="E488" s="4" t="s">
        <v>1207</v>
      </c>
    </row>
    <row r="489" spans="1:5" hidden="1" x14ac:dyDescent="0.2">
      <c r="A489" s="15" t="s">
        <v>925</v>
      </c>
      <c r="B489" s="15" t="s">
        <v>777</v>
      </c>
      <c r="C489" s="14">
        <v>6138</v>
      </c>
      <c r="D489" s="14" t="s">
        <v>1099</v>
      </c>
      <c r="E489" s="14" t="s">
        <v>1200</v>
      </c>
    </row>
    <row r="490" spans="1:5" hidden="1" x14ac:dyDescent="0.2">
      <c r="A490" s="15" t="s">
        <v>926</v>
      </c>
      <c r="B490" s="15" t="s">
        <v>778</v>
      </c>
      <c r="C490" s="14">
        <v>1772</v>
      </c>
      <c r="D490" s="14" t="s">
        <v>1099</v>
      </c>
      <c r="E490" s="14" t="s">
        <v>1200</v>
      </c>
    </row>
    <row r="491" spans="1:5" hidden="1" x14ac:dyDescent="0.2">
      <c r="A491" s="7" t="s">
        <v>927</v>
      </c>
      <c r="B491" s="7" t="s">
        <v>779</v>
      </c>
      <c r="C491" s="4">
        <v>2041</v>
      </c>
      <c r="D491" s="4" t="s">
        <v>1099</v>
      </c>
      <c r="E491" s="4" t="s">
        <v>1203</v>
      </c>
    </row>
    <row r="492" spans="1:5" hidden="1" x14ac:dyDescent="0.2">
      <c r="A492" s="7" t="s">
        <v>928</v>
      </c>
      <c r="B492" s="7" t="s">
        <v>780</v>
      </c>
      <c r="C492" s="4">
        <v>5165</v>
      </c>
      <c r="D492" s="4" t="s">
        <v>1099</v>
      </c>
      <c r="E492" s="4" t="s">
        <v>1203</v>
      </c>
    </row>
    <row r="493" spans="1:5" hidden="1" x14ac:dyDescent="0.2">
      <c r="A493" s="7" t="s">
        <v>1199</v>
      </c>
      <c r="B493" s="7" t="s">
        <v>781</v>
      </c>
      <c r="C493" s="4">
        <v>5198</v>
      </c>
      <c r="D493" s="4" t="s">
        <v>1099</v>
      </c>
      <c r="E493" s="4" t="s">
        <v>1203</v>
      </c>
    </row>
    <row r="494" spans="1:5" hidden="1" x14ac:dyDescent="0.2">
      <c r="A494" s="7" t="s">
        <v>929</v>
      </c>
      <c r="B494" s="7" t="s">
        <v>782</v>
      </c>
      <c r="C494" s="4">
        <v>16363</v>
      </c>
      <c r="D494" s="4" t="s">
        <v>1099</v>
      </c>
      <c r="E494" s="4" t="s">
        <v>1203</v>
      </c>
    </row>
    <row r="495" spans="1:5" hidden="1" x14ac:dyDescent="0.2">
      <c r="A495" s="7" t="s">
        <v>930</v>
      </c>
      <c r="B495" s="7" t="s">
        <v>783</v>
      </c>
      <c r="C495" s="4">
        <v>18427</v>
      </c>
      <c r="D495" s="4" t="s">
        <v>1099</v>
      </c>
      <c r="E495" s="4" t="s">
        <v>1241</v>
      </c>
    </row>
    <row r="496" spans="1:5" hidden="1" x14ac:dyDescent="0.2">
      <c r="A496" s="7" t="s">
        <v>931</v>
      </c>
      <c r="B496" s="7" t="s">
        <v>784</v>
      </c>
      <c r="C496" s="4">
        <v>5198</v>
      </c>
      <c r="D496" s="4" t="s">
        <v>1099</v>
      </c>
      <c r="E496" s="4" t="s">
        <v>1203</v>
      </c>
    </row>
    <row r="497" spans="1:5" hidden="1" x14ac:dyDescent="0.2">
      <c r="A497" s="7" t="s">
        <v>932</v>
      </c>
      <c r="B497" s="7" t="s">
        <v>785</v>
      </c>
      <c r="C497" s="4">
        <v>4889</v>
      </c>
      <c r="D497" s="4" t="s">
        <v>1099</v>
      </c>
      <c r="E497" s="4" t="s">
        <v>1203</v>
      </c>
    </row>
    <row r="498" spans="1:5" hidden="1" x14ac:dyDescent="0.2">
      <c r="A498" s="7" t="s">
        <v>1237</v>
      </c>
      <c r="B498" s="7" t="s">
        <v>786</v>
      </c>
      <c r="C498" s="4">
        <v>9313</v>
      </c>
      <c r="D498" s="4" t="s">
        <v>1099</v>
      </c>
      <c r="E498" s="4" t="s">
        <v>1203</v>
      </c>
    </row>
    <row r="499" spans="1:5" hidden="1" x14ac:dyDescent="0.2">
      <c r="A499" s="15" t="s">
        <v>933</v>
      </c>
      <c r="B499" s="15" t="s">
        <v>787</v>
      </c>
      <c r="C499" s="14"/>
      <c r="D499" s="14" t="s">
        <v>1099</v>
      </c>
      <c r="E499" s="14" t="s">
        <v>1200</v>
      </c>
    </row>
    <row r="500" spans="1:5" hidden="1" x14ac:dyDescent="0.2">
      <c r="A500" s="7" t="s">
        <v>934</v>
      </c>
      <c r="B500" s="7" t="s">
        <v>788</v>
      </c>
      <c r="C500" s="4">
        <v>18215</v>
      </c>
      <c r="D500" s="4" t="s">
        <v>1099</v>
      </c>
      <c r="E500" s="4" t="s">
        <v>1201</v>
      </c>
    </row>
    <row r="501" spans="1:5" hidden="1" x14ac:dyDescent="0.2">
      <c r="A501" s="15" t="s">
        <v>935</v>
      </c>
      <c r="B501" s="15" t="s">
        <v>789</v>
      </c>
      <c r="C501" s="14">
        <v>7776</v>
      </c>
      <c r="D501" s="14" t="s">
        <v>1099</v>
      </c>
      <c r="E501" s="14" t="s">
        <v>1200</v>
      </c>
    </row>
    <row r="502" spans="1:5" hidden="1" x14ac:dyDescent="0.2">
      <c r="A502" s="7" t="s">
        <v>936</v>
      </c>
      <c r="B502" s="7" t="s">
        <v>790</v>
      </c>
      <c r="C502" s="4">
        <v>4824</v>
      </c>
      <c r="D502" s="4" t="s">
        <v>1099</v>
      </c>
      <c r="E502" s="4" t="s">
        <v>1202</v>
      </c>
    </row>
    <row r="503" spans="1:5" hidden="1" x14ac:dyDescent="0.2">
      <c r="A503" s="7" t="s">
        <v>937</v>
      </c>
      <c r="B503" s="7" t="s">
        <v>791</v>
      </c>
      <c r="C503" s="4">
        <v>4204</v>
      </c>
      <c r="D503" s="4" t="s">
        <v>1099</v>
      </c>
      <c r="E503" s="4" t="s">
        <v>1203</v>
      </c>
    </row>
    <row r="504" spans="1:5" hidden="1" x14ac:dyDescent="0.2">
      <c r="A504" s="7" t="s">
        <v>938</v>
      </c>
      <c r="B504" s="7" t="s">
        <v>792</v>
      </c>
      <c r="C504" s="4">
        <v>16952</v>
      </c>
      <c r="D504" s="4" t="s">
        <v>1099</v>
      </c>
      <c r="E504" s="4" t="s">
        <v>1201</v>
      </c>
    </row>
    <row r="505" spans="1:5" hidden="1" x14ac:dyDescent="0.2">
      <c r="A505" s="7" t="s">
        <v>939</v>
      </c>
      <c r="B505" s="7" t="s">
        <v>793</v>
      </c>
      <c r="C505" s="4">
        <v>10221</v>
      </c>
      <c r="D505" s="4" t="s">
        <v>1099</v>
      </c>
      <c r="E505" s="4" t="s">
        <v>1203</v>
      </c>
    </row>
    <row r="506" spans="1:5" hidden="1" x14ac:dyDescent="0.2">
      <c r="A506" s="7" t="s">
        <v>1237</v>
      </c>
      <c r="B506" s="7" t="s">
        <v>794</v>
      </c>
      <c r="C506" s="4">
        <v>9313</v>
      </c>
      <c r="D506" s="4" t="s">
        <v>1099</v>
      </c>
      <c r="E506" s="4" t="s">
        <v>1203</v>
      </c>
    </row>
    <row r="507" spans="1:5" hidden="1" x14ac:dyDescent="0.2">
      <c r="A507" s="7" t="s">
        <v>940</v>
      </c>
      <c r="B507" s="7" t="s">
        <v>795</v>
      </c>
      <c r="C507" s="4">
        <v>6833</v>
      </c>
      <c r="D507" s="4" t="s">
        <v>1099</v>
      </c>
      <c r="E507" s="4" t="s">
        <v>1206</v>
      </c>
    </row>
    <row r="508" spans="1:5" hidden="1" x14ac:dyDescent="0.2">
      <c r="A508" s="15" t="s">
        <v>941</v>
      </c>
      <c r="B508" s="15" t="s">
        <v>796</v>
      </c>
      <c r="C508" s="14">
        <v>4637</v>
      </c>
      <c r="D508" s="14" t="s">
        <v>1099</v>
      </c>
      <c r="E508" s="14" t="s">
        <v>1200</v>
      </c>
    </row>
    <row r="509" spans="1:5" hidden="1" x14ac:dyDescent="0.2">
      <c r="A509" s="7" t="s">
        <v>942</v>
      </c>
      <c r="B509" s="7" t="s">
        <v>797</v>
      </c>
      <c r="C509" s="4">
        <v>16959</v>
      </c>
      <c r="D509" s="4" t="s">
        <v>1099</v>
      </c>
      <c r="E509" s="4" t="s">
        <v>1203</v>
      </c>
    </row>
    <row r="510" spans="1:5" hidden="1" x14ac:dyDescent="0.2">
      <c r="A510" s="7" t="s">
        <v>943</v>
      </c>
      <c r="B510" s="7" t="s">
        <v>798</v>
      </c>
      <c r="C510" s="4">
        <v>19501</v>
      </c>
      <c r="D510" s="4" t="s">
        <v>1099</v>
      </c>
      <c r="E510" s="4" t="s">
        <v>1201</v>
      </c>
    </row>
    <row r="511" spans="1:5" hidden="1" x14ac:dyDescent="0.2">
      <c r="A511" s="7" t="s">
        <v>944</v>
      </c>
      <c r="B511" s="7" t="s">
        <v>799</v>
      </c>
      <c r="C511" s="19" t="s">
        <v>1230</v>
      </c>
      <c r="D511" s="4" t="s">
        <v>1099</v>
      </c>
      <c r="E511" s="4" t="s">
        <v>1203</v>
      </c>
    </row>
    <row r="512" spans="1:5" hidden="1" x14ac:dyDescent="0.2">
      <c r="A512" s="7" t="s">
        <v>945</v>
      </c>
      <c r="B512" s="7" t="s">
        <v>800</v>
      </c>
      <c r="C512" s="4">
        <v>14693</v>
      </c>
      <c r="D512" s="4" t="s">
        <v>1099</v>
      </c>
      <c r="E512" s="4" t="s">
        <v>1203</v>
      </c>
    </row>
    <row r="513" spans="1:5" hidden="1" x14ac:dyDescent="0.2">
      <c r="A513" s="15" t="s">
        <v>946</v>
      </c>
      <c r="B513" s="15" t="s">
        <v>801</v>
      </c>
      <c r="C513" s="14"/>
      <c r="D513" s="14" t="s">
        <v>1099</v>
      </c>
      <c r="E513" s="14" t="s">
        <v>1200</v>
      </c>
    </row>
    <row r="514" spans="1:5" hidden="1" x14ac:dyDescent="0.2">
      <c r="A514" s="7" t="s">
        <v>947</v>
      </c>
      <c r="B514" s="7" t="s">
        <v>802</v>
      </c>
      <c r="C514" s="4">
        <v>12275</v>
      </c>
      <c r="D514" s="4" t="s">
        <v>1099</v>
      </c>
      <c r="E514" s="4" t="s">
        <v>1201</v>
      </c>
    </row>
    <row r="515" spans="1:5" hidden="1" x14ac:dyDescent="0.2">
      <c r="A515" s="7" t="s">
        <v>948</v>
      </c>
      <c r="B515" s="7" t="s">
        <v>803</v>
      </c>
      <c r="C515" s="4">
        <v>18054</v>
      </c>
      <c r="D515" s="4" t="s">
        <v>1099</v>
      </c>
      <c r="E515" s="4" t="s">
        <v>1203</v>
      </c>
    </row>
    <row r="516" spans="1:5" hidden="1" x14ac:dyDescent="0.2">
      <c r="A516" s="7" t="s">
        <v>949</v>
      </c>
      <c r="B516" s="7" t="s">
        <v>804</v>
      </c>
      <c r="C516" s="4">
        <v>2917</v>
      </c>
      <c r="D516" s="4" t="s">
        <v>1099</v>
      </c>
      <c r="E516" s="4" t="s">
        <v>1202</v>
      </c>
    </row>
    <row r="517" spans="1:5" hidden="1" x14ac:dyDescent="0.2">
      <c r="A517" s="7" t="s">
        <v>950</v>
      </c>
      <c r="B517" s="7" t="s">
        <v>805</v>
      </c>
      <c r="C517" s="4">
        <v>15844</v>
      </c>
      <c r="D517" s="4" t="s">
        <v>1099</v>
      </c>
      <c r="E517" s="4" t="s">
        <v>1202</v>
      </c>
    </row>
    <row r="518" spans="1:5" hidden="1" x14ac:dyDescent="0.2">
      <c r="A518" s="7" t="s">
        <v>951</v>
      </c>
      <c r="B518" s="7" t="s">
        <v>806</v>
      </c>
      <c r="C518" s="4">
        <v>3549</v>
      </c>
      <c r="D518" s="4" t="s">
        <v>1099</v>
      </c>
      <c r="E518" s="4" t="s">
        <v>1203</v>
      </c>
    </row>
    <row r="519" spans="1:5" hidden="1" x14ac:dyDescent="0.2">
      <c r="A519" s="7" t="s">
        <v>952</v>
      </c>
      <c r="B519" s="7" t="s">
        <v>807</v>
      </c>
      <c r="C519" s="4"/>
      <c r="D519" s="4" t="s">
        <v>1099</v>
      </c>
      <c r="E519" s="4" t="s">
        <v>1202</v>
      </c>
    </row>
    <row r="520" spans="1:5" hidden="1" x14ac:dyDescent="0.2">
      <c r="A520" s="7" t="s">
        <v>953</v>
      </c>
      <c r="B520" s="7" t="s">
        <v>808</v>
      </c>
      <c r="C520" s="4">
        <v>1544</v>
      </c>
      <c r="D520" s="4" t="s">
        <v>1099</v>
      </c>
      <c r="E520" s="4" t="s">
        <v>1202</v>
      </c>
    </row>
    <row r="521" spans="1:5" hidden="1" x14ac:dyDescent="0.2">
      <c r="A521" s="7" t="s">
        <v>954</v>
      </c>
      <c r="B521" s="7" t="s">
        <v>809</v>
      </c>
      <c r="C521" s="4">
        <v>2103</v>
      </c>
      <c r="D521" s="4" t="s">
        <v>1099</v>
      </c>
      <c r="E521" s="4" t="s">
        <v>1202</v>
      </c>
    </row>
    <row r="522" spans="1:5" hidden="1" x14ac:dyDescent="0.2">
      <c r="A522" s="7" t="s">
        <v>955</v>
      </c>
      <c r="B522" s="7" t="s">
        <v>810</v>
      </c>
      <c r="C522" s="4" t="s">
        <v>1231</v>
      </c>
      <c r="D522" s="4" t="s">
        <v>1099</v>
      </c>
      <c r="E522" s="4" t="s">
        <v>1203</v>
      </c>
    </row>
    <row r="523" spans="1:5" hidden="1" x14ac:dyDescent="0.2">
      <c r="A523" s="15" t="s">
        <v>956</v>
      </c>
      <c r="B523" s="15" t="s">
        <v>811</v>
      </c>
      <c r="C523" s="14">
        <v>1094</v>
      </c>
      <c r="D523" s="14" t="s">
        <v>1099</v>
      </c>
      <c r="E523" s="14" t="s">
        <v>1200</v>
      </c>
    </row>
    <row r="524" spans="1:5" hidden="1" x14ac:dyDescent="0.2">
      <c r="A524" s="15" t="s">
        <v>957</v>
      </c>
      <c r="B524" s="15" t="s">
        <v>812</v>
      </c>
      <c r="C524" s="14">
        <v>2938</v>
      </c>
      <c r="D524" s="14" t="s">
        <v>1099</v>
      </c>
      <c r="E524" s="14" t="s">
        <v>1200</v>
      </c>
    </row>
    <row r="525" spans="1:5" hidden="1" x14ac:dyDescent="0.2">
      <c r="A525" s="7" t="s">
        <v>958</v>
      </c>
      <c r="B525" s="7" t="s">
        <v>813</v>
      </c>
      <c r="C525" s="4">
        <v>7018</v>
      </c>
      <c r="D525" s="4" t="s">
        <v>1099</v>
      </c>
      <c r="E525" s="4" t="s">
        <v>1202</v>
      </c>
    </row>
    <row r="526" spans="1:5" hidden="1" x14ac:dyDescent="0.2">
      <c r="A526" s="7" t="s">
        <v>959</v>
      </c>
      <c r="B526" s="7" t="s">
        <v>814</v>
      </c>
      <c r="C526" s="4">
        <v>2549</v>
      </c>
      <c r="D526" s="4" t="s">
        <v>1099</v>
      </c>
      <c r="E526" s="4" t="s">
        <v>1203</v>
      </c>
    </row>
    <row r="527" spans="1:5" hidden="1" x14ac:dyDescent="0.2">
      <c r="A527" s="15" t="s">
        <v>946</v>
      </c>
      <c r="B527" s="15" t="s">
        <v>815</v>
      </c>
      <c r="C527" s="14"/>
      <c r="D527" s="14" t="s">
        <v>1099</v>
      </c>
      <c r="E527" s="14" t="s">
        <v>1200</v>
      </c>
    </row>
    <row r="528" spans="1:5" hidden="1" x14ac:dyDescent="0.2">
      <c r="A528" s="7" t="s">
        <v>960</v>
      </c>
      <c r="B528" s="7" t="s">
        <v>816</v>
      </c>
      <c r="C528" s="4">
        <v>4324</v>
      </c>
      <c r="D528" s="4" t="s">
        <v>1099</v>
      </c>
      <c r="E528" s="4" t="s">
        <v>1202</v>
      </c>
    </row>
    <row r="529" spans="1:5" hidden="1" x14ac:dyDescent="0.2">
      <c r="A529" s="7" t="s">
        <v>961</v>
      </c>
      <c r="B529" s="7" t="s">
        <v>817</v>
      </c>
      <c r="C529" s="4">
        <v>183</v>
      </c>
      <c r="D529" s="4" t="s">
        <v>1099</v>
      </c>
      <c r="E529" s="4" t="s">
        <v>1202</v>
      </c>
    </row>
    <row r="530" spans="1:5" hidden="1" x14ac:dyDescent="0.2">
      <c r="A530" s="7" t="s">
        <v>962</v>
      </c>
      <c r="B530" s="7" t="s">
        <v>818</v>
      </c>
      <c r="C530" s="4">
        <v>4287</v>
      </c>
      <c r="D530" s="4" t="s">
        <v>1099</v>
      </c>
      <c r="E530" s="4" t="s">
        <v>1201</v>
      </c>
    </row>
    <row r="531" spans="1:5" hidden="1" x14ac:dyDescent="0.2">
      <c r="A531" s="7" t="s">
        <v>963</v>
      </c>
      <c r="B531" s="7" t="s">
        <v>819</v>
      </c>
      <c r="C531" s="4" t="s">
        <v>1232</v>
      </c>
      <c r="D531" s="4" t="s">
        <v>1099</v>
      </c>
      <c r="E531" s="4" t="s">
        <v>1203</v>
      </c>
    </row>
    <row r="532" spans="1:5" hidden="1" x14ac:dyDescent="0.2">
      <c r="A532" s="7" t="s">
        <v>964</v>
      </c>
      <c r="B532" s="7" t="s">
        <v>820</v>
      </c>
      <c r="C532" s="4">
        <v>9781</v>
      </c>
      <c r="D532" s="4" t="s">
        <v>1099</v>
      </c>
      <c r="E532" s="4" t="s">
        <v>1202</v>
      </c>
    </row>
    <row r="533" spans="1:5" hidden="1" x14ac:dyDescent="0.2">
      <c r="A533" s="15" t="s">
        <v>965</v>
      </c>
      <c r="B533" s="15" t="s">
        <v>821</v>
      </c>
      <c r="C533" s="14">
        <v>10138</v>
      </c>
      <c r="D533" s="14" t="s">
        <v>1099</v>
      </c>
      <c r="E533" s="14" t="s">
        <v>1200</v>
      </c>
    </row>
    <row r="534" spans="1:5" hidden="1" x14ac:dyDescent="0.2">
      <c r="A534" s="15" t="s">
        <v>966</v>
      </c>
      <c r="B534" s="15" t="s">
        <v>822</v>
      </c>
      <c r="C534" s="14">
        <v>8564</v>
      </c>
      <c r="D534" s="14" t="s">
        <v>1099</v>
      </c>
      <c r="E534" s="14" t="s">
        <v>1200</v>
      </c>
    </row>
    <row r="535" spans="1:5" hidden="1" x14ac:dyDescent="0.2">
      <c r="A535" s="15" t="s">
        <v>967</v>
      </c>
      <c r="B535" s="15" t="s">
        <v>823</v>
      </c>
      <c r="C535" s="14">
        <v>6521</v>
      </c>
      <c r="D535" s="14" t="s">
        <v>1099</v>
      </c>
      <c r="E535" s="14" t="s">
        <v>1200</v>
      </c>
    </row>
    <row r="536" spans="1:5" hidden="1" x14ac:dyDescent="0.2">
      <c r="A536" s="7" t="s">
        <v>968</v>
      </c>
      <c r="B536" s="7" t="s">
        <v>824</v>
      </c>
      <c r="C536" s="4">
        <v>5859</v>
      </c>
      <c r="D536" s="4" t="s">
        <v>1099</v>
      </c>
      <c r="E536" s="4" t="s">
        <v>1241</v>
      </c>
    </row>
    <row r="537" spans="1:5" hidden="1" x14ac:dyDescent="0.2">
      <c r="A537" s="7" t="s">
        <v>969</v>
      </c>
      <c r="B537" s="7" t="s">
        <v>825</v>
      </c>
      <c r="C537" s="4"/>
      <c r="D537" s="4" t="s">
        <v>1099</v>
      </c>
      <c r="E537" s="4" t="s">
        <v>1205</v>
      </c>
    </row>
    <row r="538" spans="1:5" hidden="1" x14ac:dyDescent="0.2">
      <c r="A538" s="7" t="s">
        <v>969</v>
      </c>
      <c r="B538" s="7" t="s">
        <v>826</v>
      </c>
      <c r="C538" s="4"/>
      <c r="D538" s="4" t="s">
        <v>1099</v>
      </c>
      <c r="E538" s="4" t="s">
        <v>1205</v>
      </c>
    </row>
    <row r="539" spans="1:5" hidden="1" x14ac:dyDescent="0.2">
      <c r="A539" s="7" t="s">
        <v>970</v>
      </c>
      <c r="B539" s="7" t="s">
        <v>827</v>
      </c>
      <c r="C539" s="4">
        <v>10647</v>
      </c>
      <c r="D539" s="4" t="s">
        <v>1099</v>
      </c>
      <c r="E539" s="4" t="s">
        <v>1203</v>
      </c>
    </row>
    <row r="540" spans="1:5" hidden="1" x14ac:dyDescent="0.2">
      <c r="A540" s="15" t="s">
        <v>971</v>
      </c>
      <c r="B540" s="15" t="s">
        <v>828</v>
      </c>
      <c r="C540" s="14">
        <v>15443</v>
      </c>
      <c r="D540" s="14" t="s">
        <v>1099</v>
      </c>
      <c r="E540" s="14" t="s">
        <v>1200</v>
      </c>
    </row>
    <row r="541" spans="1:5" hidden="1" x14ac:dyDescent="0.2">
      <c r="A541" s="20" t="s">
        <v>1240</v>
      </c>
      <c r="B541" s="7" t="s">
        <v>829</v>
      </c>
      <c r="C541" s="4">
        <v>21002</v>
      </c>
      <c r="D541" s="4" t="s">
        <v>1099</v>
      </c>
      <c r="E541" s="4" t="s">
        <v>1241</v>
      </c>
    </row>
    <row r="542" spans="1:5" hidden="1" x14ac:dyDescent="0.2">
      <c r="A542" s="20" t="s">
        <v>1238</v>
      </c>
      <c r="B542" s="7" t="s">
        <v>830</v>
      </c>
      <c r="C542" s="4">
        <v>18427</v>
      </c>
      <c r="D542" s="4" t="s">
        <v>1099</v>
      </c>
      <c r="E542" s="4" t="s">
        <v>1241</v>
      </c>
    </row>
    <row r="543" spans="1:5" hidden="1" x14ac:dyDescent="0.2">
      <c r="A543" s="7" t="s">
        <v>972</v>
      </c>
      <c r="B543" s="7" t="s">
        <v>831</v>
      </c>
      <c r="C543" s="4">
        <v>18771</v>
      </c>
      <c r="D543" s="4" t="s">
        <v>1099</v>
      </c>
      <c r="E543" s="4" t="s">
        <v>1207</v>
      </c>
    </row>
    <row r="544" spans="1:5" hidden="1" x14ac:dyDescent="0.2">
      <c r="A544" s="7" t="s">
        <v>973</v>
      </c>
      <c r="B544" s="7" t="s">
        <v>832</v>
      </c>
      <c r="C544" s="4">
        <v>20464</v>
      </c>
      <c r="D544" s="4" t="s">
        <v>1099</v>
      </c>
      <c r="E544" s="4" t="s">
        <v>1202</v>
      </c>
    </row>
    <row r="545" spans="1:5" hidden="1" x14ac:dyDescent="0.2">
      <c r="A545" s="7" t="s">
        <v>880</v>
      </c>
      <c r="B545" s="7" t="s">
        <v>833</v>
      </c>
      <c r="C545" s="4">
        <v>9524</v>
      </c>
      <c r="D545" s="4" t="s">
        <v>1099</v>
      </c>
      <c r="E545" s="4" t="s">
        <v>1202</v>
      </c>
    </row>
    <row r="546" spans="1:5" hidden="1" x14ac:dyDescent="0.2">
      <c r="A546" s="15" t="s">
        <v>974</v>
      </c>
      <c r="B546" s="15" t="s">
        <v>834</v>
      </c>
      <c r="C546" s="14">
        <v>6139</v>
      </c>
      <c r="D546" s="14" t="s">
        <v>1099</v>
      </c>
      <c r="E546" s="14" t="s">
        <v>1200</v>
      </c>
    </row>
    <row r="547" spans="1:5" hidden="1" x14ac:dyDescent="0.2">
      <c r="A547" s="15" t="s">
        <v>975</v>
      </c>
      <c r="B547" s="15" t="s">
        <v>835</v>
      </c>
      <c r="C547" s="14"/>
      <c r="D547" s="14" t="s">
        <v>1099</v>
      </c>
      <c r="E547" s="14" t="s">
        <v>1200</v>
      </c>
    </row>
    <row r="548" spans="1:5" hidden="1" x14ac:dyDescent="0.2">
      <c r="A548" s="7" t="s">
        <v>976</v>
      </c>
      <c r="B548" s="7" t="s">
        <v>836</v>
      </c>
      <c r="C548" s="4">
        <v>19376</v>
      </c>
      <c r="D548" s="4" t="s">
        <v>1099</v>
      </c>
      <c r="E548" s="4" t="s">
        <v>1207</v>
      </c>
    </row>
    <row r="549" spans="1:5" hidden="1" x14ac:dyDescent="0.2">
      <c r="A549" s="7" t="s">
        <v>977</v>
      </c>
      <c r="B549" s="7" t="s">
        <v>837</v>
      </c>
      <c r="C549" s="4">
        <v>20106</v>
      </c>
      <c r="D549" s="4" t="s">
        <v>1099</v>
      </c>
      <c r="E549" s="4" t="s">
        <v>1203</v>
      </c>
    </row>
    <row r="550" spans="1:5" hidden="1" x14ac:dyDescent="0.2">
      <c r="A550" s="15" t="s">
        <v>975</v>
      </c>
      <c r="B550" s="15" t="s">
        <v>838</v>
      </c>
      <c r="C550" s="14"/>
      <c r="D550" s="14" t="s">
        <v>1099</v>
      </c>
      <c r="E550" s="14" t="s">
        <v>1200</v>
      </c>
    </row>
    <row r="551" spans="1:5" hidden="1" x14ac:dyDescent="0.2">
      <c r="A551" s="15" t="s">
        <v>978</v>
      </c>
      <c r="B551" s="15" t="s">
        <v>839</v>
      </c>
      <c r="C551" s="14"/>
      <c r="D551" s="14" t="s">
        <v>1099</v>
      </c>
      <c r="E551" s="14" t="s">
        <v>1200</v>
      </c>
    </row>
    <row r="552" spans="1:5" hidden="1" x14ac:dyDescent="0.2">
      <c r="A552" s="15" t="s">
        <v>978</v>
      </c>
      <c r="B552" s="15" t="s">
        <v>840</v>
      </c>
      <c r="C552" s="14"/>
      <c r="D552" s="14" t="s">
        <v>1099</v>
      </c>
      <c r="E552" s="14" t="s">
        <v>1200</v>
      </c>
    </row>
    <row r="553" spans="1:5" hidden="1" x14ac:dyDescent="0.2">
      <c r="A553" s="15" t="s">
        <v>979</v>
      </c>
      <c r="B553" s="15" t="s">
        <v>841</v>
      </c>
      <c r="C553" s="14">
        <v>5781</v>
      </c>
      <c r="D553" s="14" t="s">
        <v>1099</v>
      </c>
      <c r="E553" s="14" t="s">
        <v>1200</v>
      </c>
    </row>
    <row r="554" spans="1:5" hidden="1" x14ac:dyDescent="0.2">
      <c r="A554" s="7" t="s">
        <v>980</v>
      </c>
      <c r="B554" s="7" t="s">
        <v>842</v>
      </c>
      <c r="C554" s="4">
        <v>10137</v>
      </c>
      <c r="D554" s="4" t="s">
        <v>1099</v>
      </c>
      <c r="E554" s="4" t="s">
        <v>1201</v>
      </c>
    </row>
    <row r="555" spans="1:5" hidden="1" x14ac:dyDescent="0.2">
      <c r="A555" s="15" t="s">
        <v>981</v>
      </c>
      <c r="B555" s="15" t="s">
        <v>843</v>
      </c>
      <c r="C555" s="14">
        <v>9887</v>
      </c>
      <c r="D555" s="14" t="s">
        <v>1099</v>
      </c>
      <c r="E555" s="14" t="s">
        <v>1200</v>
      </c>
    </row>
    <row r="556" spans="1:5" hidden="1" x14ac:dyDescent="0.2">
      <c r="A556" s="7" t="s">
        <v>982</v>
      </c>
      <c r="B556" s="7" t="s">
        <v>844</v>
      </c>
      <c r="C556" s="4">
        <v>20707</v>
      </c>
      <c r="D556" s="4" t="s">
        <v>1099</v>
      </c>
      <c r="E556" s="4" t="s">
        <v>1201</v>
      </c>
    </row>
    <row r="557" spans="1:5" hidden="1" x14ac:dyDescent="0.2">
      <c r="A557" s="7" t="s">
        <v>983</v>
      </c>
      <c r="B557" s="7" t="s">
        <v>845</v>
      </c>
      <c r="C557" s="4">
        <v>12718</v>
      </c>
      <c r="D557" s="4" t="s">
        <v>1099</v>
      </c>
      <c r="E557" s="4" t="s">
        <v>1202</v>
      </c>
    </row>
    <row r="558" spans="1:5" hidden="1" x14ac:dyDescent="0.2">
      <c r="A558" s="7" t="s">
        <v>984</v>
      </c>
      <c r="B558" s="7" t="s">
        <v>846</v>
      </c>
      <c r="C558" s="4">
        <v>20086</v>
      </c>
      <c r="D558" s="4" t="s">
        <v>1099</v>
      </c>
      <c r="E558" s="4" t="s">
        <v>1202</v>
      </c>
    </row>
    <row r="559" spans="1:5" hidden="1" x14ac:dyDescent="0.2">
      <c r="A559" s="3" t="s">
        <v>1091</v>
      </c>
      <c r="B559" s="7" t="s">
        <v>1092</v>
      </c>
      <c r="C559" s="3" t="s">
        <v>1054</v>
      </c>
      <c r="D559" s="4" t="s">
        <v>1099</v>
      </c>
      <c r="E559" s="4" t="s">
        <v>1201</v>
      </c>
    </row>
    <row r="560" spans="1:5" hidden="1" x14ac:dyDescent="0.2">
      <c r="A560" s="3" t="s">
        <v>1093</v>
      </c>
      <c r="B560" s="7" t="s">
        <v>1094</v>
      </c>
      <c r="C560" s="3" t="s">
        <v>1055</v>
      </c>
      <c r="D560" s="4" t="s">
        <v>1099</v>
      </c>
      <c r="E560" s="4" t="s">
        <v>1203</v>
      </c>
    </row>
    <row r="561" spans="1:5" hidden="1" x14ac:dyDescent="0.2">
      <c r="A561" s="3" t="s">
        <v>1095</v>
      </c>
      <c r="B561" s="7" t="s">
        <v>1009</v>
      </c>
      <c r="C561" s="3" t="s">
        <v>1056</v>
      </c>
      <c r="D561" s="4" t="s">
        <v>1099</v>
      </c>
      <c r="E561" s="4" t="s">
        <v>1203</v>
      </c>
    </row>
    <row r="562" spans="1:5" hidden="1" x14ac:dyDescent="0.2">
      <c r="A562" s="3" t="s">
        <v>1096</v>
      </c>
      <c r="B562" s="7" t="s">
        <v>1097</v>
      </c>
      <c r="C562" s="3" t="s">
        <v>1057</v>
      </c>
      <c r="D562" s="4" t="s">
        <v>1099</v>
      </c>
      <c r="E562" s="4" t="s">
        <v>1201</v>
      </c>
    </row>
    <row r="563" spans="1:5" hidden="1" x14ac:dyDescent="0.2">
      <c r="A563" s="3" t="s">
        <v>985</v>
      </c>
      <c r="B563" s="7" t="s">
        <v>986</v>
      </c>
      <c r="C563" s="3" t="s">
        <v>1058</v>
      </c>
      <c r="D563" s="4" t="s">
        <v>1099</v>
      </c>
      <c r="E563" s="4" t="s">
        <v>1202</v>
      </c>
    </row>
    <row r="564" spans="1:5" hidden="1" x14ac:dyDescent="0.2">
      <c r="A564" s="14" t="s">
        <v>987</v>
      </c>
      <c r="B564" s="15" t="s">
        <v>988</v>
      </c>
      <c r="C564" s="14" t="s">
        <v>1059</v>
      </c>
      <c r="D564" s="14" t="s">
        <v>1099</v>
      </c>
      <c r="E564" s="14" t="s">
        <v>1200</v>
      </c>
    </row>
    <row r="565" spans="1:5" hidden="1" x14ac:dyDescent="0.2">
      <c r="A565" s="3" t="s">
        <v>990</v>
      </c>
      <c r="B565" s="7" t="s">
        <v>989</v>
      </c>
      <c r="C565" s="3" t="s">
        <v>1060</v>
      </c>
      <c r="D565" s="4" t="s">
        <v>1099</v>
      </c>
      <c r="E565" s="4" t="s">
        <v>1202</v>
      </c>
    </row>
    <row r="566" spans="1:5" hidden="1" x14ac:dyDescent="0.2">
      <c r="A566" s="14" t="s">
        <v>991</v>
      </c>
      <c r="B566" s="15" t="s">
        <v>992</v>
      </c>
      <c r="C566" s="14" t="s">
        <v>1061</v>
      </c>
      <c r="D566" s="14" t="s">
        <v>1099</v>
      </c>
      <c r="E566" s="14" t="s">
        <v>1200</v>
      </c>
    </row>
    <row r="567" spans="1:5" hidden="1" x14ac:dyDescent="0.2">
      <c r="A567" s="3" t="s">
        <v>993</v>
      </c>
      <c r="B567" s="7" t="s">
        <v>994</v>
      </c>
      <c r="C567" s="3" t="s">
        <v>1062</v>
      </c>
      <c r="D567" s="4" t="s">
        <v>1099</v>
      </c>
      <c r="E567" s="4" t="s">
        <v>1207</v>
      </c>
    </row>
    <row r="568" spans="1:5" hidden="1" x14ac:dyDescent="0.2">
      <c r="A568" s="3" t="s">
        <v>995</v>
      </c>
      <c r="B568" s="7" t="s">
        <v>996</v>
      </c>
      <c r="C568" s="3" t="s">
        <v>1063</v>
      </c>
      <c r="D568" s="4" t="s">
        <v>1099</v>
      </c>
      <c r="E568" s="4" t="s">
        <v>1203</v>
      </c>
    </row>
    <row r="569" spans="1:5" hidden="1" x14ac:dyDescent="0.2">
      <c r="A569" s="14" t="s">
        <v>997</v>
      </c>
      <c r="B569" s="15" t="s">
        <v>998</v>
      </c>
      <c r="C569" s="14" t="s">
        <v>1064</v>
      </c>
      <c r="D569" s="14" t="s">
        <v>1099</v>
      </c>
      <c r="E569" s="14" t="s">
        <v>1200</v>
      </c>
    </row>
    <row r="570" spans="1:5" hidden="1" x14ac:dyDescent="0.2">
      <c r="A570" s="14" t="s">
        <v>997</v>
      </c>
      <c r="B570" s="15" t="s">
        <v>999</v>
      </c>
      <c r="C570" s="14" t="s">
        <v>1064</v>
      </c>
      <c r="D570" s="14" t="s">
        <v>1099</v>
      </c>
      <c r="E570" s="14" t="s">
        <v>1200</v>
      </c>
    </row>
    <row r="571" spans="1:5" hidden="1" x14ac:dyDescent="0.2">
      <c r="A571" s="14" t="s">
        <v>1000</v>
      </c>
      <c r="B571" s="15" t="s">
        <v>1001</v>
      </c>
      <c r="C571" s="14" t="s">
        <v>1065</v>
      </c>
      <c r="D571" s="14" t="s">
        <v>1099</v>
      </c>
      <c r="E571" s="14" t="s">
        <v>1200</v>
      </c>
    </row>
    <row r="572" spans="1:5" hidden="1" x14ac:dyDescent="0.2">
      <c r="A572" s="3" t="s">
        <v>1002</v>
      </c>
      <c r="B572" s="7" t="s">
        <v>1003</v>
      </c>
      <c r="C572" s="3" t="s">
        <v>1066</v>
      </c>
      <c r="D572" s="4" t="s">
        <v>1099</v>
      </c>
      <c r="E572" s="4" t="s">
        <v>1201</v>
      </c>
    </row>
    <row r="573" spans="1:5" hidden="1" x14ac:dyDescent="0.2">
      <c r="A573" s="14" t="s">
        <v>1004</v>
      </c>
      <c r="B573" s="15" t="s">
        <v>1005</v>
      </c>
      <c r="C573" s="14" t="s">
        <v>1067</v>
      </c>
      <c r="D573" s="14" t="s">
        <v>1099</v>
      </c>
      <c r="E573" s="14" t="s">
        <v>1200</v>
      </c>
    </row>
    <row r="574" spans="1:5" hidden="1" x14ac:dyDescent="0.2">
      <c r="A574" s="3" t="s">
        <v>1006</v>
      </c>
      <c r="B574" s="7" t="s">
        <v>1008</v>
      </c>
      <c r="C574" s="3" t="s">
        <v>1068</v>
      </c>
      <c r="D574" s="4" t="s">
        <v>1099</v>
      </c>
      <c r="E574" s="4" t="s">
        <v>1201</v>
      </c>
    </row>
    <row r="575" spans="1:5" hidden="1" x14ac:dyDescent="0.2">
      <c r="A575" s="14" t="s">
        <v>1007</v>
      </c>
      <c r="B575" s="15" t="s">
        <v>1009</v>
      </c>
      <c r="C575" s="14" t="s">
        <v>1069</v>
      </c>
      <c r="D575" s="14" t="s">
        <v>1099</v>
      </c>
      <c r="E575" s="14" t="s">
        <v>1200</v>
      </c>
    </row>
    <row r="576" spans="1:5" hidden="1" x14ac:dyDescent="0.2">
      <c r="A576" s="14" t="s">
        <v>1010</v>
      </c>
      <c r="B576" s="15" t="s">
        <v>1011</v>
      </c>
      <c r="C576" s="14" t="s">
        <v>1070</v>
      </c>
      <c r="D576" s="14" t="s">
        <v>1099</v>
      </c>
      <c r="E576" s="14" t="s">
        <v>1200</v>
      </c>
    </row>
    <row r="577" spans="1:5" hidden="1" x14ac:dyDescent="0.2">
      <c r="A577" s="14" t="s">
        <v>1012</v>
      </c>
      <c r="B577" s="15" t="s">
        <v>1013</v>
      </c>
      <c r="C577" s="14" t="s">
        <v>1071</v>
      </c>
      <c r="D577" s="14" t="s">
        <v>1099</v>
      </c>
      <c r="E577" s="14" t="s">
        <v>1200</v>
      </c>
    </row>
    <row r="578" spans="1:5" hidden="1" x14ac:dyDescent="0.2">
      <c r="A578" s="14" t="s">
        <v>1014</v>
      </c>
      <c r="B578" s="15" t="s">
        <v>1015</v>
      </c>
      <c r="C578" s="14" t="s">
        <v>1072</v>
      </c>
      <c r="D578" s="14" t="s">
        <v>1099</v>
      </c>
      <c r="E578" s="14" t="s">
        <v>1200</v>
      </c>
    </row>
    <row r="579" spans="1:5" hidden="1" x14ac:dyDescent="0.2">
      <c r="A579" s="3" t="s">
        <v>1016</v>
      </c>
      <c r="B579" s="7" t="s">
        <v>1017</v>
      </c>
      <c r="C579" s="3" t="s">
        <v>1073</v>
      </c>
      <c r="D579" s="4" t="s">
        <v>1099</v>
      </c>
      <c r="E579" s="4" t="s">
        <v>1201</v>
      </c>
    </row>
    <row r="580" spans="1:5" hidden="1" x14ac:dyDescent="0.2">
      <c r="A580" s="14" t="s">
        <v>1018</v>
      </c>
      <c r="B580" s="15" t="s">
        <v>1019</v>
      </c>
      <c r="C580" s="14" t="s">
        <v>1074</v>
      </c>
      <c r="D580" s="14" t="s">
        <v>1099</v>
      </c>
      <c r="E580" s="14" t="s">
        <v>1200</v>
      </c>
    </row>
    <row r="581" spans="1:5" hidden="1" x14ac:dyDescent="0.2">
      <c r="A581" s="3" t="s">
        <v>1020</v>
      </c>
      <c r="B581" s="7" t="s">
        <v>1021</v>
      </c>
      <c r="C581" s="3" t="s">
        <v>1075</v>
      </c>
      <c r="D581" s="4" t="s">
        <v>1099</v>
      </c>
      <c r="E581" s="4" t="s">
        <v>1202</v>
      </c>
    </row>
    <row r="582" spans="1:5" hidden="1" x14ac:dyDescent="0.2">
      <c r="A582" s="3" t="s">
        <v>1022</v>
      </c>
      <c r="B582" s="7" t="s">
        <v>1023</v>
      </c>
      <c r="C582" s="3" t="s">
        <v>1076</v>
      </c>
      <c r="D582" s="4" t="s">
        <v>1099</v>
      </c>
      <c r="E582" s="4" t="s">
        <v>1202</v>
      </c>
    </row>
    <row r="583" spans="1:5" hidden="1" x14ac:dyDescent="0.2">
      <c r="A583" s="3" t="s">
        <v>1024</v>
      </c>
      <c r="B583" s="7" t="s">
        <v>1025</v>
      </c>
      <c r="C583" s="3" t="s">
        <v>1077</v>
      </c>
      <c r="D583" s="4" t="s">
        <v>1099</v>
      </c>
      <c r="E583" s="4" t="s">
        <v>1202</v>
      </c>
    </row>
    <row r="584" spans="1:5" hidden="1" x14ac:dyDescent="0.2">
      <c r="A584" s="3" t="s">
        <v>1026</v>
      </c>
      <c r="B584" s="7" t="s">
        <v>1027</v>
      </c>
      <c r="C584" s="3" t="s">
        <v>1078</v>
      </c>
      <c r="D584" s="4" t="s">
        <v>1099</v>
      </c>
      <c r="E584" s="4" t="s">
        <v>1202</v>
      </c>
    </row>
    <row r="585" spans="1:5" hidden="1" x14ac:dyDescent="0.2">
      <c r="A585" s="3" t="s">
        <v>1028</v>
      </c>
      <c r="B585" s="7" t="s">
        <v>1029</v>
      </c>
      <c r="C585" s="3" t="s">
        <v>1079</v>
      </c>
      <c r="D585" s="4" t="s">
        <v>1099</v>
      </c>
      <c r="E585" s="4" t="s">
        <v>1202</v>
      </c>
    </row>
    <row r="586" spans="1:5" hidden="1" x14ac:dyDescent="0.2">
      <c r="A586" s="3" t="s">
        <v>1030</v>
      </c>
      <c r="B586" s="7" t="s">
        <v>1031</v>
      </c>
      <c r="C586" s="3" t="s">
        <v>1080</v>
      </c>
      <c r="D586" s="4" t="s">
        <v>1099</v>
      </c>
      <c r="E586" s="4" t="s">
        <v>1202</v>
      </c>
    </row>
    <row r="587" spans="1:5" hidden="1" x14ac:dyDescent="0.2">
      <c r="A587" s="3" t="s">
        <v>1032</v>
      </c>
      <c r="B587" s="7" t="s">
        <v>1033</v>
      </c>
      <c r="C587" s="3" t="s">
        <v>1081</v>
      </c>
      <c r="D587" s="4" t="s">
        <v>1099</v>
      </c>
      <c r="E587" s="4" t="s">
        <v>1202</v>
      </c>
    </row>
    <row r="588" spans="1:5" hidden="1" x14ac:dyDescent="0.2">
      <c r="A588" s="14" t="s">
        <v>1034</v>
      </c>
      <c r="B588" s="15" t="s">
        <v>1035</v>
      </c>
      <c r="C588" s="14" t="s">
        <v>1082</v>
      </c>
      <c r="D588" s="14" t="s">
        <v>1099</v>
      </c>
      <c r="E588" s="14" t="s">
        <v>1200</v>
      </c>
    </row>
    <row r="589" spans="1:5" hidden="1" x14ac:dyDescent="0.2">
      <c r="A589" s="14" t="s">
        <v>1036</v>
      </c>
      <c r="B589" s="15" t="s">
        <v>1037</v>
      </c>
      <c r="C589" s="14" t="s">
        <v>1083</v>
      </c>
      <c r="D589" s="14" t="s">
        <v>1099</v>
      </c>
      <c r="E589" s="14" t="s">
        <v>1200</v>
      </c>
    </row>
    <row r="590" spans="1:5" hidden="1" x14ac:dyDescent="0.2">
      <c r="A590" s="3" t="s">
        <v>1038</v>
      </c>
      <c r="B590" s="7" t="s">
        <v>1039</v>
      </c>
      <c r="C590" s="3" t="s">
        <v>1084</v>
      </c>
      <c r="D590" s="4" t="s">
        <v>1099</v>
      </c>
      <c r="E590" s="4" t="s">
        <v>1202</v>
      </c>
    </row>
    <row r="591" spans="1:5" hidden="1" x14ac:dyDescent="0.2">
      <c r="A591" s="17" t="s">
        <v>1209</v>
      </c>
      <c r="B591" s="15" t="s">
        <v>1040</v>
      </c>
      <c r="C591" s="14">
        <v>5056</v>
      </c>
      <c r="D591" s="14" t="s">
        <v>1099</v>
      </c>
      <c r="E591" s="14" t="s">
        <v>1200</v>
      </c>
    </row>
    <row r="592" spans="1:5" hidden="1" x14ac:dyDescent="0.2">
      <c r="A592" s="17" t="s">
        <v>1210</v>
      </c>
      <c r="B592" s="15" t="s">
        <v>1041</v>
      </c>
      <c r="C592" s="14">
        <v>2568</v>
      </c>
      <c r="D592" s="14" t="s">
        <v>1099</v>
      </c>
      <c r="E592" s="14" t="s">
        <v>1200</v>
      </c>
    </row>
    <row r="593" spans="1:5" hidden="1" x14ac:dyDescent="0.2">
      <c r="A593" s="3" t="s">
        <v>1042</v>
      </c>
      <c r="B593" s="7" t="s">
        <v>1043</v>
      </c>
      <c r="C593" s="3" t="s">
        <v>1085</v>
      </c>
      <c r="D593" s="4" t="s">
        <v>1099</v>
      </c>
      <c r="E593" s="4" t="s">
        <v>1203</v>
      </c>
    </row>
    <row r="594" spans="1:5" hidden="1" x14ac:dyDescent="0.2">
      <c r="A594" s="14" t="s">
        <v>1044</v>
      </c>
      <c r="B594" s="15" t="s">
        <v>1045</v>
      </c>
      <c r="C594" s="14" t="s">
        <v>1086</v>
      </c>
      <c r="D594" s="14" t="s">
        <v>1099</v>
      </c>
      <c r="E594" s="14" t="s">
        <v>1200</v>
      </c>
    </row>
    <row r="595" spans="1:5" hidden="1" x14ac:dyDescent="0.2">
      <c r="A595" s="3" t="s">
        <v>1046</v>
      </c>
      <c r="B595" s="7" t="s">
        <v>1047</v>
      </c>
      <c r="C595" s="3" t="s">
        <v>1087</v>
      </c>
      <c r="D595" s="4" t="s">
        <v>1099</v>
      </c>
      <c r="E595" s="4" t="s">
        <v>1202</v>
      </c>
    </row>
    <row r="596" spans="1:5" hidden="1" x14ac:dyDescent="0.2">
      <c r="A596" s="3" t="s">
        <v>1048</v>
      </c>
      <c r="B596" s="7" t="s">
        <v>1049</v>
      </c>
      <c r="C596" s="3" t="s">
        <v>1088</v>
      </c>
      <c r="D596" s="4" t="s">
        <v>1099</v>
      </c>
      <c r="E596" s="4" t="s">
        <v>1202</v>
      </c>
    </row>
    <row r="597" spans="1:5" hidden="1" x14ac:dyDescent="0.2">
      <c r="A597" s="14" t="s">
        <v>1050</v>
      </c>
      <c r="B597" s="15" t="s">
        <v>1051</v>
      </c>
      <c r="C597" s="14" t="s">
        <v>1089</v>
      </c>
      <c r="D597" s="14" t="s">
        <v>1099</v>
      </c>
      <c r="E597" s="14" t="s">
        <v>1200</v>
      </c>
    </row>
    <row r="598" spans="1:5" hidden="1" x14ac:dyDescent="0.2">
      <c r="A598" s="3" t="s">
        <v>985</v>
      </c>
      <c r="B598" s="7" t="s">
        <v>1052</v>
      </c>
      <c r="C598" s="3" t="s">
        <v>1058</v>
      </c>
      <c r="D598" s="4" t="s">
        <v>1099</v>
      </c>
      <c r="E598" s="4" t="s">
        <v>1202</v>
      </c>
    </row>
    <row r="599" spans="1:5" hidden="1" x14ac:dyDescent="0.2">
      <c r="A599" s="14" t="s">
        <v>1053</v>
      </c>
      <c r="B599" s="15" t="s">
        <v>1098</v>
      </c>
      <c r="C599" s="14" t="s">
        <v>1090</v>
      </c>
      <c r="D599" s="14" t="s">
        <v>1099</v>
      </c>
      <c r="E599" s="14" t="s">
        <v>1200</v>
      </c>
    </row>
  </sheetData>
  <autoFilter ref="A1:N599" xr:uid="{1B4F7357-7BD4-4FC3-B1FF-29F1A5D110F4}">
    <filterColumn colId="3">
      <filters>
        <filter val="易点租"/>
      </filters>
    </filterColumn>
  </autoFilter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24"/>
  <sheetViews>
    <sheetView workbookViewId="0">
      <selection activeCell="E30" sqref="E30"/>
    </sheetView>
  </sheetViews>
  <sheetFormatPr defaultColWidth="8.875" defaultRowHeight="14.25" x14ac:dyDescent="0.2"/>
  <cols>
    <col min="2" max="2" width="11" bestFit="1" customWidth="1"/>
    <col min="3" max="3" width="16.5" bestFit="1" customWidth="1"/>
    <col min="4" max="4" width="11" bestFit="1" customWidth="1"/>
    <col min="5" max="5" width="10.375" bestFit="1" customWidth="1"/>
    <col min="6" max="6" width="50.5" bestFit="1" customWidth="1"/>
  </cols>
  <sheetData>
    <row r="1" spans="1:6" x14ac:dyDescent="0.2">
      <c r="A1" s="1" t="s">
        <v>500</v>
      </c>
      <c r="B1" s="1" t="s">
        <v>503</v>
      </c>
      <c r="C1" s="1" t="s">
        <v>499</v>
      </c>
      <c r="D1" s="1" t="s">
        <v>512</v>
      </c>
      <c r="E1" s="1" t="s">
        <v>509</v>
      </c>
      <c r="F1" t="s">
        <v>506</v>
      </c>
    </row>
    <row r="2" spans="1:6" x14ac:dyDescent="0.2">
      <c r="A2" t="s">
        <v>501</v>
      </c>
      <c r="F2" t="s">
        <v>507</v>
      </c>
    </row>
    <row r="3" spans="1:6" x14ac:dyDescent="0.2">
      <c r="A3" t="s">
        <v>502</v>
      </c>
      <c r="F3" t="s">
        <v>508</v>
      </c>
    </row>
    <row r="4" spans="1:6" x14ac:dyDescent="0.2">
      <c r="A4" t="s">
        <v>504</v>
      </c>
      <c r="F4" t="s">
        <v>510</v>
      </c>
    </row>
    <row r="5" spans="1:6" x14ac:dyDescent="0.2">
      <c r="A5" t="s">
        <v>505</v>
      </c>
      <c r="F5" t="s">
        <v>511</v>
      </c>
    </row>
    <row r="8" spans="1:6" x14ac:dyDescent="0.2">
      <c r="A8" s="2" t="s">
        <v>500</v>
      </c>
      <c r="B8" s="2" t="s">
        <v>503</v>
      </c>
      <c r="C8" s="2" t="s">
        <v>499</v>
      </c>
      <c r="D8" s="2" t="s">
        <v>498</v>
      </c>
      <c r="E8" s="2" t="s">
        <v>509</v>
      </c>
    </row>
    <row r="9" spans="1:6" x14ac:dyDescent="0.2">
      <c r="A9" s="13" t="s">
        <v>1191</v>
      </c>
      <c r="B9" s="4">
        <v>12190</v>
      </c>
      <c r="C9" s="3" t="s">
        <v>1211</v>
      </c>
      <c r="D9" s="4" t="s">
        <v>1192</v>
      </c>
      <c r="E9" s="12">
        <v>43405</v>
      </c>
    </row>
    <row r="10" spans="1:6" x14ac:dyDescent="0.2">
      <c r="A10" s="13" t="s">
        <v>1191</v>
      </c>
      <c r="B10" s="4">
        <v>14129</v>
      </c>
      <c r="C10" s="3" t="s">
        <v>1212</v>
      </c>
      <c r="D10" s="4" t="s">
        <v>1196</v>
      </c>
      <c r="E10" s="12">
        <v>43405</v>
      </c>
    </row>
    <row r="11" spans="1:6" x14ac:dyDescent="0.2">
      <c r="A11" s="13" t="s">
        <v>1191</v>
      </c>
      <c r="B11" s="4">
        <v>14641</v>
      </c>
      <c r="C11" s="3" t="s">
        <v>1213</v>
      </c>
      <c r="D11" s="4" t="s">
        <v>1214</v>
      </c>
      <c r="E11" s="12">
        <v>43405</v>
      </c>
    </row>
    <row r="12" spans="1:6" x14ac:dyDescent="0.2">
      <c r="A12" s="13" t="s">
        <v>1191</v>
      </c>
      <c r="B12" s="4">
        <v>20129</v>
      </c>
      <c r="C12" s="3" t="s">
        <v>1215</v>
      </c>
      <c r="D12" s="4" t="s">
        <v>1214</v>
      </c>
      <c r="E12" s="12">
        <v>43405</v>
      </c>
    </row>
    <row r="13" spans="1:6" x14ac:dyDescent="0.2">
      <c r="A13" s="13" t="s">
        <v>1191</v>
      </c>
      <c r="B13" s="4">
        <v>14654</v>
      </c>
      <c r="C13" s="3" t="s">
        <v>1216</v>
      </c>
      <c r="D13" s="4" t="s">
        <v>1217</v>
      </c>
      <c r="E13" s="12">
        <v>43405</v>
      </c>
    </row>
    <row r="14" spans="1:6" x14ac:dyDescent="0.2">
      <c r="A14" s="13" t="s">
        <v>1191</v>
      </c>
      <c r="B14" s="4">
        <v>8334</v>
      </c>
      <c r="C14" s="3" t="s">
        <v>1218</v>
      </c>
      <c r="D14" s="4" t="s">
        <v>1214</v>
      </c>
      <c r="E14" s="12">
        <v>43405</v>
      </c>
    </row>
    <row r="15" spans="1:6" x14ac:dyDescent="0.2">
      <c r="A15" s="13" t="s">
        <v>1191</v>
      </c>
      <c r="B15" s="4">
        <v>8684</v>
      </c>
      <c r="C15" s="3" t="s">
        <v>1219</v>
      </c>
      <c r="D15" s="4" t="s">
        <v>1214</v>
      </c>
      <c r="E15" s="12">
        <v>43405</v>
      </c>
    </row>
    <row r="16" spans="1:6" x14ac:dyDescent="0.2">
      <c r="A16" s="13" t="s">
        <v>1191</v>
      </c>
      <c r="B16" s="4">
        <v>16488</v>
      </c>
      <c r="C16" s="3" t="s">
        <v>1220</v>
      </c>
      <c r="D16" s="4" t="s">
        <v>1214</v>
      </c>
      <c r="E16" s="12">
        <v>43405</v>
      </c>
    </row>
    <row r="17" spans="1:6" x14ac:dyDescent="0.2">
      <c r="A17" s="13" t="s">
        <v>1191</v>
      </c>
      <c r="B17" s="4">
        <v>14641</v>
      </c>
      <c r="C17" s="3" t="s">
        <v>1221</v>
      </c>
      <c r="D17" s="4" t="s">
        <v>1214</v>
      </c>
      <c r="E17" s="12">
        <v>43405</v>
      </c>
    </row>
    <row r="18" spans="1:6" x14ac:dyDescent="0.2">
      <c r="A18" s="13" t="s">
        <v>1191</v>
      </c>
      <c r="B18" s="4">
        <v>16527</v>
      </c>
      <c r="C18" s="3" t="s">
        <v>1222</v>
      </c>
      <c r="D18" s="4" t="s">
        <v>1214</v>
      </c>
      <c r="E18" s="12">
        <v>43405</v>
      </c>
    </row>
    <row r="19" spans="1:6" x14ac:dyDescent="0.2">
      <c r="A19" s="13" t="s">
        <v>1191</v>
      </c>
      <c r="B19" s="4">
        <v>9742</v>
      </c>
      <c r="C19" s="3" t="s">
        <v>1223</v>
      </c>
      <c r="D19" s="4" t="s">
        <v>1214</v>
      </c>
      <c r="E19" s="12">
        <v>43405</v>
      </c>
    </row>
    <row r="20" spans="1:6" x14ac:dyDescent="0.2">
      <c r="A20" s="13" t="s">
        <v>1191</v>
      </c>
      <c r="B20" s="4">
        <v>12351</v>
      </c>
      <c r="C20" s="3" t="s">
        <v>1224</v>
      </c>
      <c r="D20" s="4" t="s">
        <v>1214</v>
      </c>
      <c r="E20" s="12">
        <v>43405</v>
      </c>
      <c r="F20" s="10"/>
    </row>
    <row r="21" spans="1:6" x14ac:dyDescent="0.2">
      <c r="A21" s="13" t="s">
        <v>1191</v>
      </c>
      <c r="B21" s="4">
        <v>571</v>
      </c>
      <c r="C21" s="3" t="s">
        <v>1225</v>
      </c>
      <c r="D21" s="4" t="s">
        <v>1214</v>
      </c>
      <c r="E21" s="12">
        <v>43405</v>
      </c>
    </row>
    <row r="22" spans="1:6" x14ac:dyDescent="0.2">
      <c r="A22" s="13" t="s">
        <v>1191</v>
      </c>
      <c r="B22" s="4">
        <v>12580</v>
      </c>
      <c r="C22" s="3" t="s">
        <v>1226</v>
      </c>
      <c r="D22" s="4" t="s">
        <v>1214</v>
      </c>
      <c r="E22" s="12">
        <v>43405</v>
      </c>
      <c r="F22" s="10"/>
    </row>
    <row r="23" spans="1:6" x14ac:dyDescent="0.2">
      <c r="A23" s="13" t="s">
        <v>1191</v>
      </c>
      <c r="B23" s="4">
        <v>21137</v>
      </c>
      <c r="C23" s="3" t="s">
        <v>1227</v>
      </c>
      <c r="D23" s="4" t="s">
        <v>1217</v>
      </c>
      <c r="E23" s="12">
        <v>43405</v>
      </c>
      <c r="F23" s="10"/>
    </row>
    <row r="24" spans="1:6" x14ac:dyDescent="0.2">
      <c r="A24" s="13" t="s">
        <v>1191</v>
      </c>
      <c r="B24" s="4">
        <v>6454</v>
      </c>
      <c r="C24" s="3" t="s">
        <v>1228</v>
      </c>
      <c r="D24" s="4" t="s">
        <v>1214</v>
      </c>
      <c r="E24" s="12">
        <v>43405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B84F0-C2B6-4CC4-8247-82AFAED7A187}">
  <dimension ref="A1:B9"/>
  <sheetViews>
    <sheetView workbookViewId="0">
      <selection activeCell="A12" sqref="A12"/>
    </sheetView>
  </sheetViews>
  <sheetFormatPr defaultRowHeight="14.25" x14ac:dyDescent="0.2"/>
  <cols>
    <col min="1" max="1" width="29.625" bestFit="1" customWidth="1"/>
  </cols>
  <sheetData>
    <row r="1" spans="1:2" x14ac:dyDescent="0.2">
      <c r="A1" s="14" t="s">
        <v>1200</v>
      </c>
      <c r="B1">
        <v>1</v>
      </c>
    </row>
    <row r="2" spans="1:2" x14ac:dyDescent="0.2">
      <c r="A2" t="s">
        <v>1206</v>
      </c>
      <c r="B2">
        <v>2</v>
      </c>
    </row>
    <row r="3" spans="1:2" x14ac:dyDescent="0.2">
      <c r="A3" t="s">
        <v>1207</v>
      </c>
      <c r="B3">
        <v>3</v>
      </c>
    </row>
    <row r="4" spans="1:2" x14ac:dyDescent="0.2">
      <c r="A4" t="s">
        <v>1243</v>
      </c>
      <c r="B4">
        <v>4</v>
      </c>
    </row>
    <row r="5" spans="1:2" x14ac:dyDescent="0.2">
      <c r="A5" t="s">
        <v>1244</v>
      </c>
      <c r="B5">
        <v>5</v>
      </c>
    </row>
    <row r="6" spans="1:2" x14ac:dyDescent="0.2">
      <c r="A6" t="s">
        <v>1245</v>
      </c>
      <c r="B6">
        <v>6</v>
      </c>
    </row>
    <row r="7" spans="1:2" x14ac:dyDescent="0.2">
      <c r="A7" t="s">
        <v>1246</v>
      </c>
      <c r="B7">
        <v>7</v>
      </c>
    </row>
    <row r="8" spans="1:2" x14ac:dyDescent="0.2">
      <c r="A8" t="s">
        <v>1247</v>
      </c>
      <c r="B8">
        <v>8</v>
      </c>
    </row>
    <row r="9" spans="1:2" x14ac:dyDescent="0.2">
      <c r="A9" t="s">
        <v>1248</v>
      </c>
      <c r="B9">
        <v>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DDE3C-EF9E-41C6-A8F3-2C05460AA4EB}">
  <dimension ref="A2:A49"/>
  <sheetViews>
    <sheetView topLeftCell="A15" workbookViewId="0">
      <selection activeCell="A50" sqref="A50"/>
    </sheetView>
  </sheetViews>
  <sheetFormatPr defaultRowHeight="14.25" x14ac:dyDescent="0.2"/>
  <sheetData>
    <row r="2" spans="1:1" x14ac:dyDescent="0.2">
      <c r="A2" t="s">
        <v>304</v>
      </c>
    </row>
    <row r="3" spans="1:1" x14ac:dyDescent="0.2">
      <c r="A3" t="s">
        <v>1250</v>
      </c>
    </row>
    <row r="4" spans="1:1" x14ac:dyDescent="0.2">
      <c r="A4" t="s">
        <v>1251</v>
      </c>
    </row>
    <row r="5" spans="1:1" x14ac:dyDescent="0.2">
      <c r="A5" t="s">
        <v>1252</v>
      </c>
    </row>
    <row r="6" spans="1:1" x14ac:dyDescent="0.2">
      <c r="A6" t="s">
        <v>1253</v>
      </c>
    </row>
    <row r="7" spans="1:1" x14ac:dyDescent="0.2">
      <c r="A7" t="s">
        <v>1254</v>
      </c>
    </row>
    <row r="8" spans="1:1" x14ac:dyDescent="0.2">
      <c r="A8" t="s">
        <v>1255</v>
      </c>
    </row>
    <row r="9" spans="1:1" x14ac:dyDescent="0.2">
      <c r="A9" t="s">
        <v>1256</v>
      </c>
    </row>
    <row r="10" spans="1:1" x14ac:dyDescent="0.2">
      <c r="A10" t="s">
        <v>1257</v>
      </c>
    </row>
    <row r="11" spans="1:1" x14ac:dyDescent="0.2">
      <c r="A11" t="s">
        <v>1258</v>
      </c>
    </row>
    <row r="12" spans="1:1" x14ac:dyDescent="0.2">
      <c r="A12" t="s">
        <v>1259</v>
      </c>
    </row>
    <row r="13" spans="1:1" x14ac:dyDescent="0.2">
      <c r="A13" t="s">
        <v>1260</v>
      </c>
    </row>
    <row r="14" spans="1:1" x14ac:dyDescent="0.2">
      <c r="A14" t="s">
        <v>1261</v>
      </c>
    </row>
    <row r="15" spans="1:1" x14ac:dyDescent="0.2">
      <c r="A15" t="s">
        <v>164</v>
      </c>
    </row>
    <row r="16" spans="1:1" x14ac:dyDescent="0.2">
      <c r="A16" t="s">
        <v>1262</v>
      </c>
    </row>
    <row r="17" spans="1:1" x14ac:dyDescent="0.2">
      <c r="A17" t="s">
        <v>312</v>
      </c>
    </row>
    <row r="18" spans="1:1" x14ac:dyDescent="0.2">
      <c r="A18" t="s">
        <v>1263</v>
      </c>
    </row>
    <row r="19" spans="1:1" x14ac:dyDescent="0.2">
      <c r="A19" t="s">
        <v>1264</v>
      </c>
    </row>
    <row r="20" spans="1:1" x14ac:dyDescent="0.2">
      <c r="A20" t="s">
        <v>1265</v>
      </c>
    </row>
    <row r="21" spans="1:1" x14ac:dyDescent="0.2">
      <c r="A21" t="s">
        <v>1266</v>
      </c>
    </row>
    <row r="22" spans="1:1" x14ac:dyDescent="0.2">
      <c r="A22" t="s">
        <v>1267</v>
      </c>
    </row>
    <row r="23" spans="1:1" x14ac:dyDescent="0.2">
      <c r="A23" t="s">
        <v>1268</v>
      </c>
    </row>
    <row r="24" spans="1:1" x14ac:dyDescent="0.2">
      <c r="A24" t="s">
        <v>1269</v>
      </c>
    </row>
    <row r="25" spans="1:1" x14ac:dyDescent="0.2">
      <c r="A25" t="s">
        <v>1270</v>
      </c>
    </row>
    <row r="26" spans="1:1" x14ac:dyDescent="0.2">
      <c r="A26" t="s">
        <v>1271</v>
      </c>
    </row>
    <row r="27" spans="1:1" x14ac:dyDescent="0.2">
      <c r="A27" t="s">
        <v>1262</v>
      </c>
    </row>
    <row r="28" spans="1:1" x14ac:dyDescent="0.2">
      <c r="A28" t="s">
        <v>1272</v>
      </c>
    </row>
    <row r="29" spans="1:1" x14ac:dyDescent="0.2">
      <c r="A29" t="s">
        <v>330</v>
      </c>
    </row>
    <row r="30" spans="1:1" x14ac:dyDescent="0.2">
      <c r="A30" t="s">
        <v>1273</v>
      </c>
    </row>
    <row r="31" spans="1:1" x14ac:dyDescent="0.2">
      <c r="A31" t="s">
        <v>1274</v>
      </c>
    </row>
    <row r="32" spans="1:1" x14ac:dyDescent="0.2">
      <c r="A32" t="s">
        <v>1275</v>
      </c>
    </row>
    <row r="33" spans="1:1" x14ac:dyDescent="0.2">
      <c r="A33" t="s">
        <v>1276</v>
      </c>
    </row>
    <row r="34" spans="1:1" x14ac:dyDescent="0.2">
      <c r="A34" t="s">
        <v>145</v>
      </c>
    </row>
    <row r="35" spans="1:1" x14ac:dyDescent="0.2">
      <c r="A35" t="s">
        <v>1277</v>
      </c>
    </row>
    <row r="36" spans="1:1" x14ac:dyDescent="0.2">
      <c r="A36" t="s">
        <v>388</v>
      </c>
    </row>
    <row r="37" spans="1:1" x14ac:dyDescent="0.2">
      <c r="A37" t="s">
        <v>1278</v>
      </c>
    </row>
    <row r="38" spans="1:1" x14ac:dyDescent="0.2">
      <c r="A38" t="s">
        <v>1279</v>
      </c>
    </row>
    <row r="39" spans="1:1" x14ac:dyDescent="0.2">
      <c r="A39" t="s">
        <v>1280</v>
      </c>
    </row>
    <row r="40" spans="1:1" x14ac:dyDescent="0.2">
      <c r="A40" t="s">
        <v>1281</v>
      </c>
    </row>
    <row r="41" spans="1:1" x14ac:dyDescent="0.2">
      <c r="A41" t="s">
        <v>1282</v>
      </c>
    </row>
    <row r="42" spans="1:1" x14ac:dyDescent="0.2">
      <c r="A42" t="s">
        <v>207</v>
      </c>
    </row>
    <row r="43" spans="1:1" x14ac:dyDescent="0.2">
      <c r="A43" t="s">
        <v>1283</v>
      </c>
    </row>
    <row r="44" spans="1:1" x14ac:dyDescent="0.2">
      <c r="A44" t="s">
        <v>1284</v>
      </c>
    </row>
    <row r="45" spans="1:1" x14ac:dyDescent="0.2">
      <c r="A45" t="s">
        <v>1255</v>
      </c>
    </row>
    <row r="46" spans="1:1" x14ac:dyDescent="0.2">
      <c r="A46" t="s">
        <v>306</v>
      </c>
    </row>
    <row r="47" spans="1:1" x14ac:dyDescent="0.2">
      <c r="A47" t="s">
        <v>1285</v>
      </c>
    </row>
    <row r="48" spans="1:1" x14ac:dyDescent="0.2">
      <c r="A48" t="s">
        <v>1286</v>
      </c>
    </row>
    <row r="49" spans="1:1" x14ac:dyDescent="0.2">
      <c r="A49" t="s">
        <v>1283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1E76F-0747-4325-A1B2-B3F879BD4EE7}">
  <sheetPr filterMode="1"/>
  <dimension ref="A1:J325"/>
  <sheetViews>
    <sheetView workbookViewId="0">
      <selection activeCell="A74" sqref="A74"/>
    </sheetView>
  </sheetViews>
  <sheetFormatPr defaultColWidth="26" defaultRowHeight="14.25" x14ac:dyDescent="0.2"/>
  <sheetData>
    <row r="1" spans="1:10" ht="17.25" x14ac:dyDescent="0.3">
      <c r="A1" s="25" t="s">
        <v>1291</v>
      </c>
      <c r="B1" s="25" t="s">
        <v>1288</v>
      </c>
      <c r="C1" s="25" t="s">
        <v>1289</v>
      </c>
      <c r="D1" s="25" t="s">
        <v>1290</v>
      </c>
      <c r="E1" s="25" t="s">
        <v>1292</v>
      </c>
      <c r="F1" s="25" t="s">
        <v>1293</v>
      </c>
      <c r="G1" s="25" t="s">
        <v>1294</v>
      </c>
      <c r="H1" s="25" t="s">
        <v>1295</v>
      </c>
      <c r="I1" s="25" t="s">
        <v>1296</v>
      </c>
      <c r="J1" s="25" t="s">
        <v>1297</v>
      </c>
    </row>
    <row r="2" spans="1:10" ht="16.5" hidden="1" x14ac:dyDescent="0.2">
      <c r="A2" s="26" t="s">
        <v>303</v>
      </c>
      <c r="B2" s="26" t="s">
        <v>1299</v>
      </c>
      <c r="C2" s="26" t="s">
        <v>1300</v>
      </c>
      <c r="D2" s="26" t="s">
        <v>1301</v>
      </c>
      <c r="E2" s="26" t="s">
        <v>1302</v>
      </c>
      <c r="F2" s="26" t="s">
        <v>1303</v>
      </c>
      <c r="G2" s="26" t="s">
        <v>1304</v>
      </c>
      <c r="H2" s="26" t="s">
        <v>1305</v>
      </c>
      <c r="I2" s="26" t="s">
        <v>1306</v>
      </c>
      <c r="J2" s="26" t="s">
        <v>1307</v>
      </c>
    </row>
    <row r="3" spans="1:10" ht="16.5" hidden="1" x14ac:dyDescent="0.2">
      <c r="A3" s="26" t="s">
        <v>1309</v>
      </c>
      <c r="B3" s="26" t="s">
        <v>1299</v>
      </c>
      <c r="C3" s="26" t="s">
        <v>1300</v>
      </c>
      <c r="D3" s="26" t="s">
        <v>1308</v>
      </c>
      <c r="E3" s="26" t="s">
        <v>1310</v>
      </c>
      <c r="F3" s="26" t="s">
        <v>1311</v>
      </c>
      <c r="G3" s="26" t="s">
        <v>1304</v>
      </c>
      <c r="H3" s="26" t="s">
        <v>1312</v>
      </c>
      <c r="I3" s="26" t="s">
        <v>1313</v>
      </c>
      <c r="J3" s="26" t="s">
        <v>1307</v>
      </c>
    </row>
    <row r="4" spans="1:10" ht="16.5" hidden="1" x14ac:dyDescent="0.2">
      <c r="A4" s="26" t="s">
        <v>1316</v>
      </c>
      <c r="B4" s="26" t="s">
        <v>1299</v>
      </c>
      <c r="C4" s="26" t="s">
        <v>1314</v>
      </c>
      <c r="D4" s="26" t="s">
        <v>1315</v>
      </c>
      <c r="E4" s="26" t="s">
        <v>1317</v>
      </c>
      <c r="F4" s="26" t="s">
        <v>1318</v>
      </c>
      <c r="G4" s="26" t="s">
        <v>1304</v>
      </c>
      <c r="H4" s="26" t="s">
        <v>1305</v>
      </c>
      <c r="I4" s="26" t="s">
        <v>1306</v>
      </c>
      <c r="J4" s="26" t="s">
        <v>1319</v>
      </c>
    </row>
    <row r="5" spans="1:10" ht="16.5" hidden="1" x14ac:dyDescent="0.2">
      <c r="A5" s="26" t="s">
        <v>1322</v>
      </c>
      <c r="B5" s="26" t="s">
        <v>1320</v>
      </c>
      <c r="C5" s="26" t="s">
        <v>1300</v>
      </c>
      <c r="D5" s="26" t="s">
        <v>1321</v>
      </c>
      <c r="E5" s="26" t="s">
        <v>1323</v>
      </c>
      <c r="F5" s="26" t="s">
        <v>1324</v>
      </c>
      <c r="G5" s="26" t="s">
        <v>1304</v>
      </c>
      <c r="H5" s="26" t="s">
        <v>1298</v>
      </c>
      <c r="I5" s="26" t="s">
        <v>1298</v>
      </c>
      <c r="J5" s="26" t="s">
        <v>1298</v>
      </c>
    </row>
    <row r="6" spans="1:10" ht="16.5" hidden="1" x14ac:dyDescent="0.2">
      <c r="A6" s="26" t="s">
        <v>1325</v>
      </c>
      <c r="B6" s="26" t="s">
        <v>1320</v>
      </c>
      <c r="C6" s="26" t="s">
        <v>1300</v>
      </c>
      <c r="D6" s="26" t="s">
        <v>1321</v>
      </c>
      <c r="E6" s="26" t="s">
        <v>1323</v>
      </c>
      <c r="F6" s="26" t="s">
        <v>1324</v>
      </c>
      <c r="G6" s="26" t="s">
        <v>1304</v>
      </c>
      <c r="H6" s="26" t="s">
        <v>1298</v>
      </c>
      <c r="I6" s="26" t="s">
        <v>1298</v>
      </c>
      <c r="J6" s="26" t="s">
        <v>1298</v>
      </c>
    </row>
    <row r="7" spans="1:10" ht="16.5" hidden="1" x14ac:dyDescent="0.2">
      <c r="A7" s="26" t="s">
        <v>1326</v>
      </c>
      <c r="B7" s="26" t="s">
        <v>1320</v>
      </c>
      <c r="C7" s="26" t="s">
        <v>1300</v>
      </c>
      <c r="D7" s="26" t="s">
        <v>1321</v>
      </c>
      <c r="E7" s="26" t="s">
        <v>1323</v>
      </c>
      <c r="F7" s="26" t="s">
        <v>1324</v>
      </c>
      <c r="G7" s="26" t="s">
        <v>1304</v>
      </c>
      <c r="H7" s="26" t="s">
        <v>1298</v>
      </c>
      <c r="I7" s="26" t="s">
        <v>1298</v>
      </c>
      <c r="J7" s="26" t="s">
        <v>1298</v>
      </c>
    </row>
    <row r="8" spans="1:10" ht="16.5" hidden="1" x14ac:dyDescent="0.2">
      <c r="A8" s="26" t="s">
        <v>1327</v>
      </c>
      <c r="B8" s="26" t="s">
        <v>1320</v>
      </c>
      <c r="C8" s="26" t="s">
        <v>1300</v>
      </c>
      <c r="D8" s="26" t="s">
        <v>1321</v>
      </c>
      <c r="E8" s="26" t="s">
        <v>1323</v>
      </c>
      <c r="F8" s="26" t="s">
        <v>1324</v>
      </c>
      <c r="G8" s="26" t="s">
        <v>1304</v>
      </c>
      <c r="H8" s="26" t="s">
        <v>1298</v>
      </c>
      <c r="I8" s="26" t="s">
        <v>1298</v>
      </c>
      <c r="J8" s="26" t="s">
        <v>1298</v>
      </c>
    </row>
    <row r="9" spans="1:10" ht="16.5" hidden="1" x14ac:dyDescent="0.2">
      <c r="A9" s="26" t="s">
        <v>1328</v>
      </c>
      <c r="B9" s="26" t="s">
        <v>1320</v>
      </c>
      <c r="C9" s="26" t="s">
        <v>1300</v>
      </c>
      <c r="D9" s="26" t="s">
        <v>1321</v>
      </c>
      <c r="E9" s="26" t="s">
        <v>1323</v>
      </c>
      <c r="F9" s="26" t="s">
        <v>1324</v>
      </c>
      <c r="G9" s="26" t="s">
        <v>1304</v>
      </c>
      <c r="H9" s="26" t="s">
        <v>1298</v>
      </c>
      <c r="I9" s="26" t="s">
        <v>1298</v>
      </c>
      <c r="J9" s="26" t="s">
        <v>1298</v>
      </c>
    </row>
    <row r="10" spans="1:10" ht="16.5" hidden="1" x14ac:dyDescent="0.2">
      <c r="A10" s="26" t="s">
        <v>1329</v>
      </c>
      <c r="B10" s="26" t="s">
        <v>1320</v>
      </c>
      <c r="C10" s="26" t="s">
        <v>1300</v>
      </c>
      <c r="D10" s="26" t="s">
        <v>1321</v>
      </c>
      <c r="E10" s="26" t="s">
        <v>1323</v>
      </c>
      <c r="F10" s="26" t="s">
        <v>1324</v>
      </c>
      <c r="G10" s="26" t="s">
        <v>1304</v>
      </c>
      <c r="H10" s="26" t="s">
        <v>1298</v>
      </c>
      <c r="I10" s="26" t="s">
        <v>1298</v>
      </c>
      <c r="J10" s="26" t="s">
        <v>1298</v>
      </c>
    </row>
    <row r="11" spans="1:10" ht="16.5" x14ac:dyDescent="0.2">
      <c r="A11" s="26" t="s">
        <v>1332</v>
      </c>
      <c r="B11" s="26" t="s">
        <v>1330</v>
      </c>
      <c r="C11" s="26" t="s">
        <v>1300</v>
      </c>
      <c r="D11" s="26" t="s">
        <v>1331</v>
      </c>
      <c r="E11" s="26" t="s">
        <v>1333</v>
      </c>
      <c r="F11" s="26" t="s">
        <v>1334</v>
      </c>
      <c r="G11" s="26" t="s">
        <v>1304</v>
      </c>
      <c r="H11" s="26" t="s">
        <v>1298</v>
      </c>
      <c r="I11" s="26" t="s">
        <v>1298</v>
      </c>
      <c r="J11" s="26" t="s">
        <v>1298</v>
      </c>
    </row>
    <row r="12" spans="1:10" ht="16.5" x14ac:dyDescent="0.2">
      <c r="A12" s="26" t="s">
        <v>1335</v>
      </c>
      <c r="B12" s="26" t="s">
        <v>1330</v>
      </c>
      <c r="C12" s="26" t="s">
        <v>1300</v>
      </c>
      <c r="D12" s="26" t="s">
        <v>1331</v>
      </c>
      <c r="E12" s="26" t="s">
        <v>1333</v>
      </c>
      <c r="F12" s="26" t="s">
        <v>1334</v>
      </c>
      <c r="G12" s="26" t="s">
        <v>1304</v>
      </c>
      <c r="H12" s="26" t="s">
        <v>1298</v>
      </c>
      <c r="I12" s="26" t="s">
        <v>1298</v>
      </c>
      <c r="J12" s="26" t="s">
        <v>1298</v>
      </c>
    </row>
    <row r="13" spans="1:10" ht="16.5" x14ac:dyDescent="0.2">
      <c r="A13" s="26" t="s">
        <v>1336</v>
      </c>
      <c r="B13" s="26" t="s">
        <v>1330</v>
      </c>
      <c r="C13" s="26" t="s">
        <v>1300</v>
      </c>
      <c r="D13" s="26" t="s">
        <v>1331</v>
      </c>
      <c r="E13" s="26" t="s">
        <v>1333</v>
      </c>
      <c r="F13" s="26" t="s">
        <v>1334</v>
      </c>
      <c r="G13" s="26" t="s">
        <v>1304</v>
      </c>
      <c r="H13" s="26" t="s">
        <v>1298</v>
      </c>
      <c r="I13" s="26" t="s">
        <v>1298</v>
      </c>
      <c r="J13" s="26" t="s">
        <v>1298</v>
      </c>
    </row>
    <row r="14" spans="1:10" ht="16.5" x14ac:dyDescent="0.2">
      <c r="A14" s="26" t="s">
        <v>1337</v>
      </c>
      <c r="B14" s="26" t="s">
        <v>1330</v>
      </c>
      <c r="C14" s="26" t="s">
        <v>1300</v>
      </c>
      <c r="D14" s="26" t="s">
        <v>1331</v>
      </c>
      <c r="E14" s="26" t="s">
        <v>1333</v>
      </c>
      <c r="F14" s="26" t="s">
        <v>1334</v>
      </c>
      <c r="G14" s="26" t="s">
        <v>1304</v>
      </c>
      <c r="H14" s="26" t="s">
        <v>1298</v>
      </c>
      <c r="I14" s="26" t="s">
        <v>1298</v>
      </c>
      <c r="J14" s="26" t="s">
        <v>1298</v>
      </c>
    </row>
    <row r="15" spans="1:10" ht="16.5" x14ac:dyDescent="0.2">
      <c r="A15" s="26" t="s">
        <v>1338</v>
      </c>
      <c r="B15" s="26" t="s">
        <v>1330</v>
      </c>
      <c r="C15" s="26" t="s">
        <v>1300</v>
      </c>
      <c r="D15" s="26" t="s">
        <v>1331</v>
      </c>
      <c r="E15" s="26" t="s">
        <v>1333</v>
      </c>
      <c r="F15" s="26" t="s">
        <v>1334</v>
      </c>
      <c r="G15" s="26" t="s">
        <v>1304</v>
      </c>
      <c r="H15" s="26" t="s">
        <v>1298</v>
      </c>
      <c r="I15" s="26" t="s">
        <v>1298</v>
      </c>
      <c r="J15" s="26" t="s">
        <v>1298</v>
      </c>
    </row>
    <row r="16" spans="1:10" ht="16.5" x14ac:dyDescent="0.2">
      <c r="A16" s="26" t="s">
        <v>1339</v>
      </c>
      <c r="B16" s="26" t="s">
        <v>1330</v>
      </c>
      <c r="C16" s="26" t="s">
        <v>1300</v>
      </c>
      <c r="D16" s="26" t="s">
        <v>1331</v>
      </c>
      <c r="E16" s="26" t="s">
        <v>1333</v>
      </c>
      <c r="F16" s="26" t="s">
        <v>1334</v>
      </c>
      <c r="G16" s="26" t="s">
        <v>1304</v>
      </c>
      <c r="H16" s="26" t="s">
        <v>1298</v>
      </c>
      <c r="I16" s="26" t="s">
        <v>1298</v>
      </c>
      <c r="J16" s="26" t="s">
        <v>1298</v>
      </c>
    </row>
    <row r="17" spans="1:10" ht="16.5" x14ac:dyDescent="0.2">
      <c r="A17" s="26" t="s">
        <v>1340</v>
      </c>
      <c r="B17" s="26" t="s">
        <v>1330</v>
      </c>
      <c r="C17" s="26" t="s">
        <v>1300</v>
      </c>
      <c r="D17" s="26" t="s">
        <v>1331</v>
      </c>
      <c r="E17" s="26" t="s">
        <v>1333</v>
      </c>
      <c r="F17" s="26" t="s">
        <v>1334</v>
      </c>
      <c r="G17" s="26" t="s">
        <v>1304</v>
      </c>
      <c r="H17" s="26" t="s">
        <v>1298</v>
      </c>
      <c r="I17" s="26" t="s">
        <v>1298</v>
      </c>
      <c r="J17" s="26" t="s">
        <v>1298</v>
      </c>
    </row>
    <row r="18" spans="1:10" ht="16.5" x14ac:dyDescent="0.2">
      <c r="A18" s="26" t="s">
        <v>1341</v>
      </c>
      <c r="B18" s="26" t="s">
        <v>1330</v>
      </c>
      <c r="C18" s="26" t="s">
        <v>1300</v>
      </c>
      <c r="D18" s="26" t="s">
        <v>1331</v>
      </c>
      <c r="E18" s="26" t="s">
        <v>1333</v>
      </c>
      <c r="F18" s="26" t="s">
        <v>1334</v>
      </c>
      <c r="G18" s="26" t="s">
        <v>1304</v>
      </c>
      <c r="H18" s="26" t="s">
        <v>1298</v>
      </c>
      <c r="I18" s="26" t="s">
        <v>1298</v>
      </c>
      <c r="J18" s="26" t="s">
        <v>1298</v>
      </c>
    </row>
    <row r="19" spans="1:10" ht="16.5" x14ac:dyDescent="0.2">
      <c r="A19" s="26" t="s">
        <v>1342</v>
      </c>
      <c r="B19" s="26" t="s">
        <v>1330</v>
      </c>
      <c r="C19" s="26" t="s">
        <v>1300</v>
      </c>
      <c r="D19" s="26" t="s">
        <v>1331</v>
      </c>
      <c r="E19" s="26" t="s">
        <v>1333</v>
      </c>
      <c r="F19" s="26" t="s">
        <v>1334</v>
      </c>
      <c r="G19" s="26" t="s">
        <v>1304</v>
      </c>
      <c r="H19" s="26" t="s">
        <v>1298</v>
      </c>
      <c r="I19" s="26" t="s">
        <v>1298</v>
      </c>
      <c r="J19" s="26" t="s">
        <v>1298</v>
      </c>
    </row>
    <row r="20" spans="1:10" ht="16.5" hidden="1" x14ac:dyDescent="0.2">
      <c r="A20" s="26" t="s">
        <v>208</v>
      </c>
      <c r="B20" s="26" t="s">
        <v>1299</v>
      </c>
      <c r="C20" s="26" t="s">
        <v>1314</v>
      </c>
      <c r="D20" s="26" t="s">
        <v>1343</v>
      </c>
      <c r="E20" s="26" t="s">
        <v>1344</v>
      </c>
      <c r="F20" s="26" t="s">
        <v>1345</v>
      </c>
      <c r="G20" s="26" t="s">
        <v>1304</v>
      </c>
      <c r="H20" s="26" t="s">
        <v>1305</v>
      </c>
      <c r="I20" s="26" t="s">
        <v>1306</v>
      </c>
      <c r="J20" s="26" t="s">
        <v>1307</v>
      </c>
    </row>
    <row r="21" spans="1:10" ht="16.5" hidden="1" x14ac:dyDescent="0.2">
      <c r="A21" s="26" t="s">
        <v>1347</v>
      </c>
      <c r="B21" s="26" t="s">
        <v>1299</v>
      </c>
      <c r="C21" s="26" t="s">
        <v>1314</v>
      </c>
      <c r="D21" s="26" t="s">
        <v>1346</v>
      </c>
      <c r="E21" s="26" t="s">
        <v>1348</v>
      </c>
      <c r="F21" s="26" t="s">
        <v>1349</v>
      </c>
      <c r="G21" s="26" t="s">
        <v>1304</v>
      </c>
      <c r="H21" s="26" t="s">
        <v>1305</v>
      </c>
      <c r="I21" s="26" t="s">
        <v>1306</v>
      </c>
      <c r="J21" s="26" t="s">
        <v>1319</v>
      </c>
    </row>
    <row r="22" spans="1:10" ht="16.5" hidden="1" x14ac:dyDescent="0.2">
      <c r="A22" s="26" t="s">
        <v>1350</v>
      </c>
      <c r="B22" s="26" t="s">
        <v>1299</v>
      </c>
      <c r="C22" s="26" t="s">
        <v>1314</v>
      </c>
      <c r="D22" s="26" t="s">
        <v>1346</v>
      </c>
      <c r="E22" s="26" t="s">
        <v>1348</v>
      </c>
      <c r="F22" s="26" t="s">
        <v>1349</v>
      </c>
      <c r="G22" s="26" t="s">
        <v>1304</v>
      </c>
      <c r="H22" s="26" t="s">
        <v>1305</v>
      </c>
      <c r="I22" s="26" t="s">
        <v>1306</v>
      </c>
      <c r="J22" s="26" t="s">
        <v>1319</v>
      </c>
    </row>
    <row r="23" spans="1:10" ht="16.5" hidden="1" x14ac:dyDescent="0.2">
      <c r="A23" s="26" t="s">
        <v>1351</v>
      </c>
      <c r="B23" s="26" t="s">
        <v>1299</v>
      </c>
      <c r="C23" s="26" t="s">
        <v>1314</v>
      </c>
      <c r="D23" s="26" t="s">
        <v>1346</v>
      </c>
      <c r="E23" s="26" t="s">
        <v>1348</v>
      </c>
      <c r="F23" s="26" t="s">
        <v>1349</v>
      </c>
      <c r="G23" s="26" t="s">
        <v>1304</v>
      </c>
      <c r="H23" s="26" t="s">
        <v>1305</v>
      </c>
      <c r="I23" s="26" t="s">
        <v>1306</v>
      </c>
      <c r="J23" s="26" t="s">
        <v>1319</v>
      </c>
    </row>
    <row r="24" spans="1:10" ht="16.5" hidden="1" x14ac:dyDescent="0.2">
      <c r="A24" s="26" t="s">
        <v>1352</v>
      </c>
      <c r="B24" s="26" t="s">
        <v>1299</v>
      </c>
      <c r="C24" s="26" t="s">
        <v>1314</v>
      </c>
      <c r="D24" s="26" t="s">
        <v>1346</v>
      </c>
      <c r="E24" s="26" t="s">
        <v>1353</v>
      </c>
      <c r="F24" s="26" t="s">
        <v>1354</v>
      </c>
      <c r="G24" s="26" t="s">
        <v>1304</v>
      </c>
      <c r="H24" s="26" t="s">
        <v>1305</v>
      </c>
      <c r="I24" s="26" t="s">
        <v>1306</v>
      </c>
      <c r="J24" s="26" t="s">
        <v>1319</v>
      </c>
    </row>
    <row r="25" spans="1:10" ht="16.5" hidden="1" x14ac:dyDescent="0.2">
      <c r="A25" s="26" t="s">
        <v>1355</v>
      </c>
      <c r="B25" s="26" t="s">
        <v>1299</v>
      </c>
      <c r="C25" s="26" t="s">
        <v>1314</v>
      </c>
      <c r="D25" s="26" t="s">
        <v>1346</v>
      </c>
      <c r="E25" s="26" t="s">
        <v>1353</v>
      </c>
      <c r="F25" s="26" t="s">
        <v>1354</v>
      </c>
      <c r="G25" s="26" t="s">
        <v>1304</v>
      </c>
      <c r="H25" s="26" t="s">
        <v>1305</v>
      </c>
      <c r="I25" s="26" t="s">
        <v>1306</v>
      </c>
      <c r="J25" s="26" t="s">
        <v>1319</v>
      </c>
    </row>
    <row r="26" spans="1:10" ht="16.5" hidden="1" x14ac:dyDescent="0.2">
      <c r="A26" s="26" t="s">
        <v>1356</v>
      </c>
      <c r="B26" s="26" t="s">
        <v>1299</v>
      </c>
      <c r="C26" s="26" t="s">
        <v>1314</v>
      </c>
      <c r="D26" s="26" t="s">
        <v>1346</v>
      </c>
      <c r="E26" s="26" t="s">
        <v>1353</v>
      </c>
      <c r="F26" s="26" t="s">
        <v>1354</v>
      </c>
      <c r="G26" s="26" t="s">
        <v>1304</v>
      </c>
      <c r="H26" s="26" t="s">
        <v>1305</v>
      </c>
      <c r="I26" s="26" t="s">
        <v>1306</v>
      </c>
      <c r="J26" s="26" t="s">
        <v>1319</v>
      </c>
    </row>
    <row r="27" spans="1:10" ht="16.5" hidden="1" x14ac:dyDescent="0.2">
      <c r="A27" s="26" t="s">
        <v>1357</v>
      </c>
      <c r="B27" s="26" t="s">
        <v>1299</v>
      </c>
      <c r="C27" s="26" t="s">
        <v>1314</v>
      </c>
      <c r="D27" s="26" t="s">
        <v>1346</v>
      </c>
      <c r="E27" s="26" t="s">
        <v>1353</v>
      </c>
      <c r="F27" s="26" t="s">
        <v>1354</v>
      </c>
      <c r="G27" s="26" t="s">
        <v>1304</v>
      </c>
      <c r="H27" s="26" t="s">
        <v>1305</v>
      </c>
      <c r="I27" s="26" t="s">
        <v>1306</v>
      </c>
      <c r="J27" s="26" t="s">
        <v>1319</v>
      </c>
    </row>
    <row r="28" spans="1:10" ht="16.5" hidden="1" x14ac:dyDescent="0.2">
      <c r="A28" s="26" t="s">
        <v>1359</v>
      </c>
      <c r="B28" s="26" t="s">
        <v>1299</v>
      </c>
      <c r="C28" s="26" t="s">
        <v>1314</v>
      </c>
      <c r="D28" s="26" t="s">
        <v>1358</v>
      </c>
      <c r="E28" s="26" t="s">
        <v>1360</v>
      </c>
      <c r="F28" s="26" t="s">
        <v>1361</v>
      </c>
      <c r="G28" s="26" t="s">
        <v>1304</v>
      </c>
      <c r="H28" s="26" t="s">
        <v>1362</v>
      </c>
      <c r="I28" s="26" t="s">
        <v>1363</v>
      </c>
      <c r="J28" s="26" t="s">
        <v>1319</v>
      </c>
    </row>
    <row r="29" spans="1:10" ht="16.5" hidden="1" x14ac:dyDescent="0.2">
      <c r="A29" s="26" t="s">
        <v>56</v>
      </c>
      <c r="B29" s="26" t="s">
        <v>1299</v>
      </c>
      <c r="C29" s="26" t="s">
        <v>1314</v>
      </c>
      <c r="D29" s="26" t="s">
        <v>1315</v>
      </c>
      <c r="E29" s="26" t="s">
        <v>1364</v>
      </c>
      <c r="F29" s="26" t="s">
        <v>1361</v>
      </c>
      <c r="G29" s="26" t="s">
        <v>1304</v>
      </c>
      <c r="H29" s="26" t="s">
        <v>1305</v>
      </c>
      <c r="I29" s="26" t="s">
        <v>1306</v>
      </c>
      <c r="J29" s="26" t="s">
        <v>1365</v>
      </c>
    </row>
    <row r="30" spans="1:10" ht="16.5" hidden="1" x14ac:dyDescent="0.2">
      <c r="A30" s="26" t="s">
        <v>1366</v>
      </c>
      <c r="B30" s="26" t="s">
        <v>1299</v>
      </c>
      <c r="C30" s="26" t="s">
        <v>1314</v>
      </c>
      <c r="D30" s="26" t="s">
        <v>1346</v>
      </c>
      <c r="E30" s="26" t="s">
        <v>1353</v>
      </c>
      <c r="F30" s="26" t="s">
        <v>1367</v>
      </c>
      <c r="G30" s="26" t="s">
        <v>1304</v>
      </c>
      <c r="H30" s="26" t="s">
        <v>1305</v>
      </c>
      <c r="I30" s="26" t="s">
        <v>1306</v>
      </c>
      <c r="J30" s="26" t="s">
        <v>1319</v>
      </c>
    </row>
    <row r="31" spans="1:10" ht="16.5" hidden="1" x14ac:dyDescent="0.2">
      <c r="A31" s="26" t="s">
        <v>1368</v>
      </c>
      <c r="B31" s="26" t="s">
        <v>1299</v>
      </c>
      <c r="C31" s="26" t="s">
        <v>1314</v>
      </c>
      <c r="D31" s="26" t="s">
        <v>1346</v>
      </c>
      <c r="E31" s="26" t="s">
        <v>1353</v>
      </c>
      <c r="F31" s="26" t="s">
        <v>1367</v>
      </c>
      <c r="G31" s="26" t="s">
        <v>1304</v>
      </c>
      <c r="H31" s="26" t="s">
        <v>1305</v>
      </c>
      <c r="I31" s="26" t="s">
        <v>1306</v>
      </c>
      <c r="J31" s="26" t="s">
        <v>1319</v>
      </c>
    </row>
    <row r="32" spans="1:10" ht="16.5" hidden="1" x14ac:dyDescent="0.2">
      <c r="A32" s="26" t="s">
        <v>1369</v>
      </c>
      <c r="B32" s="26" t="s">
        <v>1299</v>
      </c>
      <c r="C32" s="26" t="s">
        <v>1314</v>
      </c>
      <c r="D32" s="26" t="s">
        <v>1346</v>
      </c>
      <c r="E32" s="26" t="s">
        <v>1353</v>
      </c>
      <c r="F32" s="26" t="s">
        <v>1367</v>
      </c>
      <c r="G32" s="26" t="s">
        <v>1304</v>
      </c>
      <c r="H32" s="26" t="s">
        <v>1305</v>
      </c>
      <c r="I32" s="26" t="s">
        <v>1306</v>
      </c>
      <c r="J32" s="26" t="s">
        <v>1319</v>
      </c>
    </row>
    <row r="33" spans="1:10" ht="16.5" hidden="1" x14ac:dyDescent="0.2">
      <c r="A33" s="26" t="s">
        <v>334</v>
      </c>
      <c r="B33" s="26" t="s">
        <v>1299</v>
      </c>
      <c r="C33" s="26" t="s">
        <v>1314</v>
      </c>
      <c r="D33" s="26" t="s">
        <v>1346</v>
      </c>
      <c r="E33" s="26" t="s">
        <v>1353</v>
      </c>
      <c r="F33" s="26" t="s">
        <v>1367</v>
      </c>
      <c r="G33" s="26" t="s">
        <v>1304</v>
      </c>
      <c r="H33" s="26" t="s">
        <v>1305</v>
      </c>
      <c r="I33" s="26" t="s">
        <v>1306</v>
      </c>
      <c r="J33" s="26" t="s">
        <v>1319</v>
      </c>
    </row>
    <row r="34" spans="1:10" ht="16.5" hidden="1" x14ac:dyDescent="0.2">
      <c r="A34" s="26" t="s">
        <v>1370</v>
      </c>
      <c r="B34" s="26" t="s">
        <v>1299</v>
      </c>
      <c r="C34" s="26" t="s">
        <v>1314</v>
      </c>
      <c r="D34" s="26" t="s">
        <v>1346</v>
      </c>
      <c r="E34" s="26" t="s">
        <v>1353</v>
      </c>
      <c r="F34" s="26" t="s">
        <v>1367</v>
      </c>
      <c r="G34" s="26" t="s">
        <v>1304</v>
      </c>
      <c r="H34" s="26" t="s">
        <v>1305</v>
      </c>
      <c r="I34" s="26" t="s">
        <v>1306</v>
      </c>
      <c r="J34" s="26" t="s">
        <v>1319</v>
      </c>
    </row>
    <row r="35" spans="1:10" ht="16.5" hidden="1" x14ac:dyDescent="0.2">
      <c r="A35" s="26" t="s">
        <v>1371</v>
      </c>
      <c r="B35" s="26" t="s">
        <v>1299</v>
      </c>
      <c r="C35" s="26" t="s">
        <v>1314</v>
      </c>
      <c r="D35" s="26" t="s">
        <v>1346</v>
      </c>
      <c r="E35" s="26" t="s">
        <v>1353</v>
      </c>
      <c r="F35" s="26" t="s">
        <v>1372</v>
      </c>
      <c r="G35" s="26" t="s">
        <v>1304</v>
      </c>
      <c r="H35" s="26" t="s">
        <v>1305</v>
      </c>
      <c r="I35" s="26" t="s">
        <v>1306</v>
      </c>
      <c r="J35" s="26" t="s">
        <v>1319</v>
      </c>
    </row>
    <row r="36" spans="1:10" ht="16.5" hidden="1" x14ac:dyDescent="0.2">
      <c r="A36" s="26" t="s">
        <v>1373</v>
      </c>
      <c r="B36" s="26" t="s">
        <v>1299</v>
      </c>
      <c r="C36" s="26" t="s">
        <v>1314</v>
      </c>
      <c r="D36" s="26" t="s">
        <v>1346</v>
      </c>
      <c r="E36" s="26" t="s">
        <v>1353</v>
      </c>
      <c r="F36" s="26" t="s">
        <v>1372</v>
      </c>
      <c r="G36" s="26" t="s">
        <v>1304</v>
      </c>
      <c r="H36" s="26" t="s">
        <v>1305</v>
      </c>
      <c r="I36" s="26" t="s">
        <v>1306</v>
      </c>
      <c r="J36" s="26" t="s">
        <v>1319</v>
      </c>
    </row>
    <row r="37" spans="1:10" ht="16.5" hidden="1" x14ac:dyDescent="0.2">
      <c r="A37" s="26" t="s">
        <v>1374</v>
      </c>
      <c r="B37" s="26" t="s">
        <v>1299</v>
      </c>
      <c r="C37" s="26" t="s">
        <v>1314</v>
      </c>
      <c r="D37" s="26" t="s">
        <v>1346</v>
      </c>
      <c r="E37" s="26" t="s">
        <v>1353</v>
      </c>
      <c r="F37" s="26" t="s">
        <v>1372</v>
      </c>
      <c r="G37" s="26" t="s">
        <v>1304</v>
      </c>
      <c r="H37" s="26" t="s">
        <v>1305</v>
      </c>
      <c r="I37" s="26" t="s">
        <v>1306</v>
      </c>
      <c r="J37" s="26" t="s">
        <v>1319</v>
      </c>
    </row>
    <row r="38" spans="1:10" ht="16.5" x14ac:dyDescent="0.2">
      <c r="A38" s="26" t="s">
        <v>1376</v>
      </c>
      <c r="B38" s="26" t="s">
        <v>1330</v>
      </c>
      <c r="C38" s="26" t="s">
        <v>1300</v>
      </c>
      <c r="D38" s="26" t="s">
        <v>1375</v>
      </c>
      <c r="E38" s="26" t="s">
        <v>1377</v>
      </c>
      <c r="F38" s="26" t="s">
        <v>1378</v>
      </c>
      <c r="G38" s="26" t="s">
        <v>1304</v>
      </c>
      <c r="H38" s="26" t="s">
        <v>1298</v>
      </c>
      <c r="I38" s="26" t="s">
        <v>1298</v>
      </c>
      <c r="J38" s="26" t="s">
        <v>1298</v>
      </c>
    </row>
    <row r="39" spans="1:10" ht="16.5" x14ac:dyDescent="0.2">
      <c r="A39" s="26" t="s">
        <v>1380</v>
      </c>
      <c r="B39" s="26" t="s">
        <v>1330</v>
      </c>
      <c r="C39" s="26" t="s">
        <v>1300</v>
      </c>
      <c r="D39" s="26" t="s">
        <v>1379</v>
      </c>
      <c r="E39" s="26" t="s">
        <v>1381</v>
      </c>
      <c r="F39" s="26" t="s">
        <v>1378</v>
      </c>
      <c r="G39" s="26" t="s">
        <v>1304</v>
      </c>
      <c r="H39" s="26" t="s">
        <v>1298</v>
      </c>
      <c r="I39" s="26" t="s">
        <v>1298</v>
      </c>
      <c r="J39" s="26" t="s">
        <v>1298</v>
      </c>
    </row>
    <row r="40" spans="1:10" ht="16.5" hidden="1" x14ac:dyDescent="0.2">
      <c r="A40" s="26" t="s">
        <v>1382</v>
      </c>
      <c r="B40" s="26" t="s">
        <v>1299</v>
      </c>
      <c r="C40" s="26" t="s">
        <v>1314</v>
      </c>
      <c r="D40" s="26" t="s">
        <v>1346</v>
      </c>
      <c r="E40" s="26" t="s">
        <v>1353</v>
      </c>
      <c r="F40" s="26" t="s">
        <v>1383</v>
      </c>
      <c r="G40" s="26" t="s">
        <v>1304</v>
      </c>
      <c r="H40" s="26" t="s">
        <v>1305</v>
      </c>
      <c r="I40" s="26" t="s">
        <v>1306</v>
      </c>
      <c r="J40" s="26" t="s">
        <v>1319</v>
      </c>
    </row>
    <row r="41" spans="1:10" ht="16.5" hidden="1" x14ac:dyDescent="0.2">
      <c r="A41" s="26" t="s">
        <v>1384</v>
      </c>
      <c r="B41" s="26" t="s">
        <v>1299</v>
      </c>
      <c r="C41" s="26" t="s">
        <v>1314</v>
      </c>
      <c r="D41" s="26" t="s">
        <v>1346</v>
      </c>
      <c r="E41" s="26" t="s">
        <v>1353</v>
      </c>
      <c r="F41" s="26" t="s">
        <v>1383</v>
      </c>
      <c r="G41" s="26" t="s">
        <v>1304</v>
      </c>
      <c r="H41" s="26" t="s">
        <v>1305</v>
      </c>
      <c r="I41" s="26" t="s">
        <v>1306</v>
      </c>
      <c r="J41" s="26" t="s">
        <v>1319</v>
      </c>
    </row>
    <row r="42" spans="1:10" ht="16.5" hidden="1" x14ac:dyDescent="0.2">
      <c r="A42" s="26" t="s">
        <v>1385</v>
      </c>
      <c r="B42" s="26" t="s">
        <v>1299</v>
      </c>
      <c r="C42" s="26" t="s">
        <v>1314</v>
      </c>
      <c r="D42" s="26" t="s">
        <v>1346</v>
      </c>
      <c r="E42" s="26" t="s">
        <v>1353</v>
      </c>
      <c r="F42" s="26" t="s">
        <v>1383</v>
      </c>
      <c r="G42" s="26" t="s">
        <v>1304</v>
      </c>
      <c r="H42" s="26" t="s">
        <v>1305</v>
      </c>
      <c r="I42" s="26" t="s">
        <v>1306</v>
      </c>
      <c r="J42" s="26" t="s">
        <v>1319</v>
      </c>
    </row>
    <row r="43" spans="1:10" ht="16.5" hidden="1" x14ac:dyDescent="0.2">
      <c r="A43" s="26" t="s">
        <v>1386</v>
      </c>
      <c r="B43" s="26" t="s">
        <v>1299</v>
      </c>
      <c r="C43" s="26" t="s">
        <v>1314</v>
      </c>
      <c r="D43" s="26" t="s">
        <v>1315</v>
      </c>
      <c r="E43" s="26" t="s">
        <v>1353</v>
      </c>
      <c r="F43" s="26" t="s">
        <v>1387</v>
      </c>
      <c r="G43" s="26" t="s">
        <v>1304</v>
      </c>
      <c r="H43" s="26" t="s">
        <v>1305</v>
      </c>
      <c r="I43" s="26" t="s">
        <v>1363</v>
      </c>
      <c r="J43" s="26" t="s">
        <v>1388</v>
      </c>
    </row>
    <row r="44" spans="1:10" ht="16.5" hidden="1" x14ac:dyDescent="0.2">
      <c r="A44" s="26" t="s">
        <v>1389</v>
      </c>
      <c r="B44" s="26" t="s">
        <v>1299</v>
      </c>
      <c r="C44" s="26" t="s">
        <v>1314</v>
      </c>
      <c r="D44" s="26" t="s">
        <v>1358</v>
      </c>
      <c r="E44" s="26" t="s">
        <v>1390</v>
      </c>
      <c r="F44" s="26" t="s">
        <v>1391</v>
      </c>
      <c r="G44" s="26" t="s">
        <v>1304</v>
      </c>
      <c r="H44" s="26" t="s">
        <v>1362</v>
      </c>
      <c r="I44" s="26" t="s">
        <v>1363</v>
      </c>
      <c r="J44" s="26" t="s">
        <v>1319</v>
      </c>
    </row>
    <row r="45" spans="1:10" ht="16.5" hidden="1" x14ac:dyDescent="0.2">
      <c r="A45" s="26" t="s">
        <v>1392</v>
      </c>
      <c r="B45" s="26" t="s">
        <v>1299</v>
      </c>
      <c r="C45" s="26" t="s">
        <v>1314</v>
      </c>
      <c r="D45" s="26" t="s">
        <v>1358</v>
      </c>
      <c r="E45" s="26" t="s">
        <v>1390</v>
      </c>
      <c r="F45" s="26" t="s">
        <v>1391</v>
      </c>
      <c r="G45" s="26" t="s">
        <v>1304</v>
      </c>
      <c r="H45" s="26" t="s">
        <v>1362</v>
      </c>
      <c r="I45" s="26" t="s">
        <v>1363</v>
      </c>
      <c r="J45" s="26" t="s">
        <v>1319</v>
      </c>
    </row>
    <row r="46" spans="1:10" ht="16.5" hidden="1" x14ac:dyDescent="0.2">
      <c r="A46" s="26" t="s">
        <v>1394</v>
      </c>
      <c r="B46" s="26" t="s">
        <v>1299</v>
      </c>
      <c r="C46" s="26" t="s">
        <v>1314</v>
      </c>
      <c r="D46" s="26" t="s">
        <v>1393</v>
      </c>
      <c r="E46" s="26" t="s">
        <v>1395</v>
      </c>
      <c r="F46" s="26" t="s">
        <v>1391</v>
      </c>
      <c r="G46" s="26" t="s">
        <v>1304</v>
      </c>
      <c r="H46" s="26" t="s">
        <v>1305</v>
      </c>
      <c r="I46" s="26" t="s">
        <v>1306</v>
      </c>
      <c r="J46" s="26" t="s">
        <v>1319</v>
      </c>
    </row>
    <row r="47" spans="1:10" ht="16.5" hidden="1" x14ac:dyDescent="0.2">
      <c r="A47" s="26" t="s">
        <v>1396</v>
      </c>
      <c r="B47" s="26" t="s">
        <v>1299</v>
      </c>
      <c r="C47" s="26" t="s">
        <v>1314</v>
      </c>
      <c r="D47" s="26" t="s">
        <v>1393</v>
      </c>
      <c r="E47" s="26" t="s">
        <v>1395</v>
      </c>
      <c r="F47" s="26" t="s">
        <v>1397</v>
      </c>
      <c r="G47" s="26" t="s">
        <v>1304</v>
      </c>
      <c r="H47" s="26" t="s">
        <v>1305</v>
      </c>
      <c r="I47" s="26" t="s">
        <v>1306</v>
      </c>
      <c r="J47" s="26" t="s">
        <v>1319</v>
      </c>
    </row>
    <row r="48" spans="1:10" ht="16.5" hidden="1" x14ac:dyDescent="0.2">
      <c r="A48" s="26" t="s">
        <v>106</v>
      </c>
      <c r="B48" s="26" t="s">
        <v>1299</v>
      </c>
      <c r="C48" s="26" t="s">
        <v>1314</v>
      </c>
      <c r="D48" s="26" t="s">
        <v>1358</v>
      </c>
      <c r="E48" s="26" t="s">
        <v>1390</v>
      </c>
      <c r="F48" s="26" t="s">
        <v>1397</v>
      </c>
      <c r="G48" s="26" t="s">
        <v>1304</v>
      </c>
      <c r="H48" s="26" t="s">
        <v>1362</v>
      </c>
      <c r="I48" s="26" t="s">
        <v>1363</v>
      </c>
      <c r="J48" s="26" t="s">
        <v>1319</v>
      </c>
    </row>
    <row r="49" spans="1:10" ht="16.5" hidden="1" x14ac:dyDescent="0.2">
      <c r="A49" s="26" t="s">
        <v>350</v>
      </c>
      <c r="B49" s="26" t="s">
        <v>1299</v>
      </c>
      <c r="C49" s="26" t="s">
        <v>1314</v>
      </c>
      <c r="D49" s="26" t="s">
        <v>1393</v>
      </c>
      <c r="E49" s="26" t="s">
        <v>1395</v>
      </c>
      <c r="F49" s="26" t="s">
        <v>1398</v>
      </c>
      <c r="G49" s="26" t="s">
        <v>1304</v>
      </c>
      <c r="H49" s="26" t="s">
        <v>1305</v>
      </c>
      <c r="I49" s="26" t="s">
        <v>1306</v>
      </c>
      <c r="J49" s="26" t="s">
        <v>1319</v>
      </c>
    </row>
    <row r="50" spans="1:10" ht="16.5" hidden="1" x14ac:dyDescent="0.2">
      <c r="A50" s="26" t="s">
        <v>1399</v>
      </c>
      <c r="B50" s="26" t="s">
        <v>1299</v>
      </c>
      <c r="C50" s="26" t="s">
        <v>1314</v>
      </c>
      <c r="D50" s="26" t="s">
        <v>1393</v>
      </c>
      <c r="E50" s="26" t="s">
        <v>1395</v>
      </c>
      <c r="F50" s="26" t="s">
        <v>1400</v>
      </c>
      <c r="G50" s="26" t="s">
        <v>1304</v>
      </c>
      <c r="H50" s="26" t="s">
        <v>1305</v>
      </c>
      <c r="I50" s="26" t="s">
        <v>1306</v>
      </c>
      <c r="J50" s="26" t="s">
        <v>1319</v>
      </c>
    </row>
    <row r="51" spans="1:10" ht="16.5" hidden="1" x14ac:dyDescent="0.2">
      <c r="A51" s="26" t="s">
        <v>1401</v>
      </c>
      <c r="B51" s="26" t="s">
        <v>1299</v>
      </c>
      <c r="C51" s="26" t="s">
        <v>1314</v>
      </c>
      <c r="D51" s="26" t="s">
        <v>1393</v>
      </c>
      <c r="E51" s="26" t="s">
        <v>1395</v>
      </c>
      <c r="F51" s="26" t="s">
        <v>1400</v>
      </c>
      <c r="G51" s="26" t="s">
        <v>1304</v>
      </c>
      <c r="H51" s="26" t="s">
        <v>1305</v>
      </c>
      <c r="I51" s="26" t="s">
        <v>1306</v>
      </c>
      <c r="J51" s="26" t="s">
        <v>1319</v>
      </c>
    </row>
    <row r="52" spans="1:10" ht="16.5" hidden="1" x14ac:dyDescent="0.2">
      <c r="A52" s="26" t="s">
        <v>1402</v>
      </c>
      <c r="B52" s="26" t="s">
        <v>1299</v>
      </c>
      <c r="C52" s="26" t="s">
        <v>1314</v>
      </c>
      <c r="D52" s="26" t="s">
        <v>1393</v>
      </c>
      <c r="E52" s="26" t="s">
        <v>1395</v>
      </c>
      <c r="F52" s="26" t="s">
        <v>1400</v>
      </c>
      <c r="G52" s="26" t="s">
        <v>1304</v>
      </c>
      <c r="H52" s="26" t="s">
        <v>1305</v>
      </c>
      <c r="I52" s="26" t="s">
        <v>1306</v>
      </c>
      <c r="J52" s="26" t="s">
        <v>1319</v>
      </c>
    </row>
    <row r="53" spans="1:10" ht="16.5" hidden="1" x14ac:dyDescent="0.2">
      <c r="A53" s="26" t="s">
        <v>1403</v>
      </c>
      <c r="B53" s="26" t="s">
        <v>1299</v>
      </c>
      <c r="C53" s="26" t="s">
        <v>1314</v>
      </c>
      <c r="D53" s="26" t="s">
        <v>1393</v>
      </c>
      <c r="E53" s="26" t="s">
        <v>1395</v>
      </c>
      <c r="F53" s="26" t="s">
        <v>1404</v>
      </c>
      <c r="G53" s="26" t="s">
        <v>1304</v>
      </c>
      <c r="H53" s="26" t="s">
        <v>1305</v>
      </c>
      <c r="I53" s="26" t="s">
        <v>1306</v>
      </c>
      <c r="J53" s="26" t="s">
        <v>1319</v>
      </c>
    </row>
    <row r="54" spans="1:10" ht="16.5" hidden="1" x14ac:dyDescent="0.2">
      <c r="A54" s="26" t="s">
        <v>1405</v>
      </c>
      <c r="B54" s="26" t="s">
        <v>1299</v>
      </c>
      <c r="C54" s="26" t="s">
        <v>1314</v>
      </c>
      <c r="D54" s="26" t="s">
        <v>1393</v>
      </c>
      <c r="E54" s="26" t="s">
        <v>1395</v>
      </c>
      <c r="F54" s="26" t="s">
        <v>1404</v>
      </c>
      <c r="G54" s="26" t="s">
        <v>1304</v>
      </c>
      <c r="H54" s="26" t="s">
        <v>1305</v>
      </c>
      <c r="I54" s="26" t="s">
        <v>1306</v>
      </c>
      <c r="J54" s="26" t="s">
        <v>1319</v>
      </c>
    </row>
    <row r="55" spans="1:10" ht="16.5" hidden="1" x14ac:dyDescent="0.2">
      <c r="A55" s="26" t="s">
        <v>1406</v>
      </c>
      <c r="B55" s="26" t="s">
        <v>1299</v>
      </c>
      <c r="C55" s="26" t="s">
        <v>1314</v>
      </c>
      <c r="D55" s="26" t="s">
        <v>1393</v>
      </c>
      <c r="E55" s="26" t="s">
        <v>1395</v>
      </c>
      <c r="F55" s="26" t="s">
        <v>1404</v>
      </c>
      <c r="G55" s="26" t="s">
        <v>1304</v>
      </c>
      <c r="H55" s="26" t="s">
        <v>1305</v>
      </c>
      <c r="I55" s="26" t="s">
        <v>1306</v>
      </c>
      <c r="J55" s="26" t="s">
        <v>1319</v>
      </c>
    </row>
    <row r="56" spans="1:10" ht="16.5" hidden="1" x14ac:dyDescent="0.2">
      <c r="A56" s="26" t="s">
        <v>1407</v>
      </c>
      <c r="B56" s="26" t="s">
        <v>1299</v>
      </c>
      <c r="C56" s="26" t="s">
        <v>1314</v>
      </c>
      <c r="D56" s="26" t="s">
        <v>1393</v>
      </c>
      <c r="E56" s="26" t="s">
        <v>1395</v>
      </c>
      <c r="F56" s="26" t="s">
        <v>1404</v>
      </c>
      <c r="G56" s="26" t="s">
        <v>1304</v>
      </c>
      <c r="H56" s="26" t="s">
        <v>1305</v>
      </c>
      <c r="I56" s="26" t="s">
        <v>1306</v>
      </c>
      <c r="J56" s="26" t="s">
        <v>1319</v>
      </c>
    </row>
    <row r="57" spans="1:10" ht="16.5" hidden="1" x14ac:dyDescent="0.2">
      <c r="A57" s="26" t="s">
        <v>1408</v>
      </c>
      <c r="B57" s="26" t="s">
        <v>1299</v>
      </c>
      <c r="C57" s="26" t="s">
        <v>1314</v>
      </c>
      <c r="D57" s="26" t="s">
        <v>1315</v>
      </c>
      <c r="E57" s="26" t="s">
        <v>1409</v>
      </c>
      <c r="F57" s="26" t="s">
        <v>1410</v>
      </c>
      <c r="G57" s="26" t="s">
        <v>1304</v>
      </c>
      <c r="H57" s="26" t="s">
        <v>1305</v>
      </c>
      <c r="I57" s="26" t="s">
        <v>1313</v>
      </c>
      <c r="J57" s="26" t="s">
        <v>1411</v>
      </c>
    </row>
    <row r="58" spans="1:10" ht="16.5" hidden="1" x14ac:dyDescent="0.2">
      <c r="A58" s="26" t="s">
        <v>1412</v>
      </c>
      <c r="B58" s="26" t="s">
        <v>1299</v>
      </c>
      <c r="C58" s="26" t="s">
        <v>1314</v>
      </c>
      <c r="D58" s="26" t="s">
        <v>1315</v>
      </c>
      <c r="E58" s="26" t="s">
        <v>1409</v>
      </c>
      <c r="F58" s="26" t="s">
        <v>1410</v>
      </c>
      <c r="G58" s="26" t="s">
        <v>1304</v>
      </c>
      <c r="H58" s="26" t="s">
        <v>1305</v>
      </c>
      <c r="I58" s="26" t="s">
        <v>1313</v>
      </c>
      <c r="J58" s="26" t="s">
        <v>1411</v>
      </c>
    </row>
    <row r="59" spans="1:10" ht="16.5" hidden="1" x14ac:dyDescent="0.2">
      <c r="A59" s="26" t="s">
        <v>19</v>
      </c>
      <c r="B59" s="26" t="s">
        <v>1413</v>
      </c>
      <c r="C59" s="26" t="s">
        <v>1304</v>
      </c>
      <c r="D59" s="26" t="s">
        <v>1414</v>
      </c>
      <c r="E59" s="26" t="s">
        <v>1415</v>
      </c>
      <c r="F59" s="26" t="s">
        <v>1416</v>
      </c>
      <c r="G59" s="26" t="s">
        <v>1304</v>
      </c>
      <c r="H59" s="26" t="s">
        <v>1417</v>
      </c>
      <c r="I59" s="26" t="s">
        <v>1363</v>
      </c>
      <c r="J59" s="26" t="s">
        <v>1319</v>
      </c>
    </row>
    <row r="60" spans="1:10" ht="16.5" hidden="1" x14ac:dyDescent="0.2">
      <c r="A60" s="26" t="s">
        <v>1418</v>
      </c>
      <c r="B60" s="26" t="s">
        <v>1413</v>
      </c>
      <c r="C60" s="26" t="s">
        <v>1304</v>
      </c>
      <c r="D60" s="26" t="s">
        <v>1414</v>
      </c>
      <c r="E60" s="26" t="s">
        <v>1415</v>
      </c>
      <c r="F60" s="26" t="s">
        <v>1416</v>
      </c>
      <c r="G60" s="26" t="s">
        <v>1304</v>
      </c>
      <c r="H60" s="26" t="s">
        <v>1417</v>
      </c>
      <c r="I60" s="26" t="s">
        <v>1363</v>
      </c>
      <c r="J60" s="26" t="s">
        <v>1319</v>
      </c>
    </row>
    <row r="61" spans="1:10" ht="16.5" hidden="1" x14ac:dyDescent="0.2">
      <c r="A61" s="26" t="s">
        <v>21</v>
      </c>
      <c r="B61" s="26" t="s">
        <v>1413</v>
      </c>
      <c r="C61" s="26" t="s">
        <v>1304</v>
      </c>
      <c r="D61" s="26" t="s">
        <v>1414</v>
      </c>
      <c r="E61" s="26" t="s">
        <v>1415</v>
      </c>
      <c r="F61" s="26" t="s">
        <v>1416</v>
      </c>
      <c r="G61" s="26" t="s">
        <v>1304</v>
      </c>
      <c r="H61" s="26" t="s">
        <v>1417</v>
      </c>
      <c r="I61" s="26" t="s">
        <v>1363</v>
      </c>
      <c r="J61" s="26" t="s">
        <v>1319</v>
      </c>
    </row>
    <row r="62" spans="1:10" ht="16.5" hidden="1" x14ac:dyDescent="0.2">
      <c r="A62" s="26" t="s">
        <v>22</v>
      </c>
      <c r="B62" s="26" t="s">
        <v>1413</v>
      </c>
      <c r="C62" s="26" t="s">
        <v>1304</v>
      </c>
      <c r="D62" s="26" t="s">
        <v>1414</v>
      </c>
      <c r="E62" s="26" t="s">
        <v>1415</v>
      </c>
      <c r="F62" s="26" t="s">
        <v>1416</v>
      </c>
      <c r="G62" s="26" t="s">
        <v>1304</v>
      </c>
      <c r="H62" s="26" t="s">
        <v>1417</v>
      </c>
      <c r="I62" s="26" t="s">
        <v>1363</v>
      </c>
      <c r="J62" s="26" t="s">
        <v>1319</v>
      </c>
    </row>
    <row r="63" spans="1:10" ht="16.5" hidden="1" x14ac:dyDescent="0.2">
      <c r="A63" s="26" t="s">
        <v>338</v>
      </c>
      <c r="B63" s="26" t="s">
        <v>1299</v>
      </c>
      <c r="C63" s="26" t="s">
        <v>1314</v>
      </c>
      <c r="D63" s="26" t="s">
        <v>1393</v>
      </c>
      <c r="E63" s="26" t="s">
        <v>1395</v>
      </c>
      <c r="F63" s="26" t="s">
        <v>1419</v>
      </c>
      <c r="G63" s="26" t="s">
        <v>1304</v>
      </c>
      <c r="H63" s="26" t="s">
        <v>1305</v>
      </c>
      <c r="I63" s="26" t="s">
        <v>1306</v>
      </c>
      <c r="J63" s="26" t="s">
        <v>1319</v>
      </c>
    </row>
    <row r="64" spans="1:10" ht="16.5" hidden="1" x14ac:dyDescent="0.2">
      <c r="A64" s="26" t="s">
        <v>352</v>
      </c>
      <c r="B64" s="26" t="s">
        <v>1299</v>
      </c>
      <c r="C64" s="26" t="s">
        <v>1314</v>
      </c>
      <c r="D64" s="26" t="s">
        <v>1393</v>
      </c>
      <c r="E64" s="26" t="s">
        <v>1395</v>
      </c>
      <c r="F64" s="26" t="s">
        <v>1420</v>
      </c>
      <c r="G64" s="26" t="s">
        <v>1304</v>
      </c>
      <c r="H64" s="26" t="s">
        <v>1305</v>
      </c>
      <c r="I64" s="26" t="s">
        <v>1306</v>
      </c>
      <c r="J64" s="26" t="s">
        <v>1319</v>
      </c>
    </row>
    <row r="65" spans="1:10" ht="16.5" hidden="1" x14ac:dyDescent="0.2">
      <c r="A65" s="26" t="s">
        <v>1421</v>
      </c>
      <c r="B65" s="26" t="s">
        <v>1299</v>
      </c>
      <c r="C65" s="26" t="s">
        <v>1314</v>
      </c>
      <c r="D65" s="26" t="s">
        <v>1393</v>
      </c>
      <c r="E65" s="26" t="s">
        <v>1395</v>
      </c>
      <c r="F65" s="26" t="s">
        <v>1422</v>
      </c>
      <c r="G65" s="26" t="s">
        <v>1304</v>
      </c>
      <c r="H65" s="26" t="s">
        <v>1305</v>
      </c>
      <c r="I65" s="26" t="s">
        <v>1306</v>
      </c>
      <c r="J65" s="26" t="s">
        <v>1319</v>
      </c>
    </row>
    <row r="66" spans="1:10" ht="16.5" hidden="1" x14ac:dyDescent="0.2">
      <c r="A66" s="26" t="s">
        <v>1423</v>
      </c>
      <c r="B66" s="26" t="s">
        <v>1299</v>
      </c>
      <c r="C66" s="26" t="s">
        <v>1314</v>
      </c>
      <c r="D66" s="26" t="s">
        <v>1393</v>
      </c>
      <c r="E66" s="26" t="s">
        <v>1395</v>
      </c>
      <c r="F66" s="26" t="s">
        <v>1422</v>
      </c>
      <c r="G66" s="26" t="s">
        <v>1304</v>
      </c>
      <c r="H66" s="26" t="s">
        <v>1305</v>
      </c>
      <c r="I66" s="26" t="s">
        <v>1306</v>
      </c>
      <c r="J66" s="26" t="s">
        <v>1319</v>
      </c>
    </row>
    <row r="67" spans="1:10" ht="16.5" hidden="1" x14ac:dyDescent="0.2">
      <c r="A67" s="26" t="s">
        <v>1425</v>
      </c>
      <c r="B67" s="26" t="s">
        <v>1299</v>
      </c>
      <c r="C67" s="26" t="s">
        <v>1314</v>
      </c>
      <c r="D67" s="26" t="s">
        <v>1424</v>
      </c>
      <c r="E67" s="26" t="s">
        <v>1426</v>
      </c>
      <c r="F67" s="26" t="s">
        <v>1427</v>
      </c>
      <c r="G67" s="26" t="s">
        <v>1304</v>
      </c>
      <c r="H67" s="26" t="s">
        <v>1305</v>
      </c>
      <c r="I67" s="26" t="s">
        <v>1363</v>
      </c>
      <c r="J67" s="26" t="s">
        <v>1428</v>
      </c>
    </row>
    <row r="68" spans="1:10" ht="16.5" hidden="1" x14ac:dyDescent="0.2">
      <c r="A68" s="26" t="s">
        <v>1429</v>
      </c>
      <c r="B68" s="26" t="s">
        <v>1299</v>
      </c>
      <c r="C68" s="26" t="s">
        <v>1314</v>
      </c>
      <c r="D68" s="26" t="s">
        <v>1315</v>
      </c>
      <c r="E68" s="26" t="s">
        <v>1395</v>
      </c>
      <c r="F68" s="26" t="s">
        <v>1427</v>
      </c>
      <c r="G68" s="26" t="s">
        <v>1304</v>
      </c>
      <c r="H68" s="26" t="s">
        <v>1305</v>
      </c>
      <c r="I68" s="26" t="s">
        <v>1306</v>
      </c>
      <c r="J68" s="26" t="s">
        <v>1365</v>
      </c>
    </row>
    <row r="69" spans="1:10" ht="16.5" hidden="1" x14ac:dyDescent="0.2">
      <c r="A69" s="26" t="s">
        <v>177</v>
      </c>
      <c r="B69" s="26" t="s">
        <v>1299</v>
      </c>
      <c r="C69" s="26" t="s">
        <v>1314</v>
      </c>
      <c r="D69" s="26" t="s">
        <v>1315</v>
      </c>
      <c r="E69" s="26" t="s">
        <v>1430</v>
      </c>
      <c r="F69" s="26" t="s">
        <v>1431</v>
      </c>
      <c r="G69" s="26" t="s">
        <v>1304</v>
      </c>
      <c r="H69" s="26" t="s">
        <v>1305</v>
      </c>
      <c r="I69" s="26" t="s">
        <v>1313</v>
      </c>
      <c r="J69" s="26" t="s">
        <v>1365</v>
      </c>
    </row>
    <row r="70" spans="1:10" ht="16.5" hidden="1" x14ac:dyDescent="0.2">
      <c r="A70" s="26" t="s">
        <v>1432</v>
      </c>
      <c r="B70" s="26" t="s">
        <v>1299</v>
      </c>
      <c r="C70" s="26" t="s">
        <v>1314</v>
      </c>
      <c r="D70" s="26" t="s">
        <v>1315</v>
      </c>
      <c r="E70" s="26" t="s">
        <v>1395</v>
      </c>
      <c r="F70" s="26" t="s">
        <v>1431</v>
      </c>
      <c r="G70" s="26" t="s">
        <v>1304</v>
      </c>
      <c r="H70" s="26" t="s">
        <v>1305</v>
      </c>
      <c r="I70" s="26" t="s">
        <v>1306</v>
      </c>
      <c r="J70" s="26" t="s">
        <v>1319</v>
      </c>
    </row>
    <row r="71" spans="1:10" ht="16.5" hidden="1" x14ac:dyDescent="0.2">
      <c r="A71" s="26" t="s">
        <v>1433</v>
      </c>
      <c r="B71" s="26" t="s">
        <v>1299</v>
      </c>
      <c r="C71" s="26" t="s">
        <v>1314</v>
      </c>
      <c r="D71" s="26" t="s">
        <v>1393</v>
      </c>
      <c r="E71" s="26" t="s">
        <v>1395</v>
      </c>
      <c r="F71" s="26" t="s">
        <v>1431</v>
      </c>
      <c r="G71" s="26" t="s">
        <v>1304</v>
      </c>
      <c r="H71" s="26" t="s">
        <v>1305</v>
      </c>
      <c r="I71" s="26" t="s">
        <v>1306</v>
      </c>
      <c r="J71" s="26" t="s">
        <v>1319</v>
      </c>
    </row>
    <row r="72" spans="1:10" ht="16.5" hidden="1" x14ac:dyDescent="0.2">
      <c r="A72" s="26" t="s">
        <v>1434</v>
      </c>
      <c r="B72" s="26" t="s">
        <v>1299</v>
      </c>
      <c r="C72" s="26" t="s">
        <v>1314</v>
      </c>
      <c r="D72" s="26" t="s">
        <v>1393</v>
      </c>
      <c r="E72" s="26" t="s">
        <v>1395</v>
      </c>
      <c r="F72" s="26" t="s">
        <v>1431</v>
      </c>
      <c r="G72" s="26" t="s">
        <v>1304</v>
      </c>
      <c r="H72" s="26" t="s">
        <v>1305</v>
      </c>
      <c r="I72" s="26" t="s">
        <v>1306</v>
      </c>
      <c r="J72" s="26" t="s">
        <v>1319</v>
      </c>
    </row>
    <row r="73" spans="1:10" ht="16.5" hidden="1" x14ac:dyDescent="0.2">
      <c r="A73" s="26" t="s">
        <v>1435</v>
      </c>
      <c r="B73" s="26" t="s">
        <v>1299</v>
      </c>
      <c r="C73" s="26" t="s">
        <v>1314</v>
      </c>
      <c r="D73" s="26" t="s">
        <v>1393</v>
      </c>
      <c r="E73" s="26" t="s">
        <v>1395</v>
      </c>
      <c r="F73" s="26" t="s">
        <v>1431</v>
      </c>
      <c r="G73" s="26" t="s">
        <v>1304</v>
      </c>
      <c r="H73" s="26" t="s">
        <v>1305</v>
      </c>
      <c r="I73" s="26" t="s">
        <v>1306</v>
      </c>
      <c r="J73" s="26" t="s">
        <v>1319</v>
      </c>
    </row>
    <row r="74" spans="1:10" ht="16.5" x14ac:dyDescent="0.2">
      <c r="A74" s="26" t="s">
        <v>1791</v>
      </c>
      <c r="B74" s="26" t="s">
        <v>618</v>
      </c>
      <c r="C74" s="26" t="s">
        <v>1436</v>
      </c>
      <c r="D74" s="26" t="s">
        <v>1437</v>
      </c>
      <c r="E74" s="26" t="s">
        <v>1438</v>
      </c>
      <c r="F74" s="26" t="s">
        <v>1431</v>
      </c>
      <c r="G74" s="26" t="s">
        <v>1304</v>
      </c>
      <c r="H74" s="26" t="s">
        <v>1298</v>
      </c>
      <c r="I74" s="26" t="s">
        <v>1298</v>
      </c>
      <c r="J74" s="26" t="s">
        <v>1298</v>
      </c>
    </row>
    <row r="75" spans="1:10" ht="16.5" x14ac:dyDescent="0.2">
      <c r="A75" s="26" t="s">
        <v>1439</v>
      </c>
      <c r="B75" s="26" t="s">
        <v>1330</v>
      </c>
      <c r="C75" s="26" t="s">
        <v>1436</v>
      </c>
      <c r="D75" s="26" t="s">
        <v>1437</v>
      </c>
      <c r="E75" s="26" t="s">
        <v>1438</v>
      </c>
      <c r="F75" s="26" t="s">
        <v>1431</v>
      </c>
      <c r="G75" s="26" t="s">
        <v>1304</v>
      </c>
      <c r="H75" s="26" t="s">
        <v>1298</v>
      </c>
      <c r="I75" s="26" t="s">
        <v>1298</v>
      </c>
      <c r="J75" s="26" t="s">
        <v>1298</v>
      </c>
    </row>
    <row r="76" spans="1:10" ht="16.5" hidden="1" x14ac:dyDescent="0.2">
      <c r="A76" s="26" t="s">
        <v>1440</v>
      </c>
      <c r="B76" s="26" t="s">
        <v>1299</v>
      </c>
      <c r="C76" s="26" t="s">
        <v>1314</v>
      </c>
      <c r="D76" s="26" t="s">
        <v>1393</v>
      </c>
      <c r="E76" s="26" t="s">
        <v>1395</v>
      </c>
      <c r="F76" s="26" t="s">
        <v>1441</v>
      </c>
      <c r="G76" s="26" t="s">
        <v>1304</v>
      </c>
      <c r="H76" s="26" t="s">
        <v>1305</v>
      </c>
      <c r="I76" s="26" t="s">
        <v>1306</v>
      </c>
      <c r="J76" s="26" t="s">
        <v>1319</v>
      </c>
    </row>
    <row r="77" spans="1:10" ht="16.5" hidden="1" x14ac:dyDescent="0.2">
      <c r="A77" s="26" t="s">
        <v>1442</v>
      </c>
      <c r="B77" s="26" t="s">
        <v>1299</v>
      </c>
      <c r="C77" s="26" t="s">
        <v>1314</v>
      </c>
      <c r="D77" s="26" t="s">
        <v>1315</v>
      </c>
      <c r="E77" s="26" t="s">
        <v>1395</v>
      </c>
      <c r="F77" s="26" t="s">
        <v>1441</v>
      </c>
      <c r="G77" s="26" t="s">
        <v>1304</v>
      </c>
      <c r="H77" s="26" t="s">
        <v>1305</v>
      </c>
      <c r="I77" s="26" t="s">
        <v>1306</v>
      </c>
      <c r="J77" s="26" t="s">
        <v>1365</v>
      </c>
    </row>
    <row r="78" spans="1:10" ht="16.5" hidden="1" x14ac:dyDescent="0.2">
      <c r="A78" s="26" t="s">
        <v>1443</v>
      </c>
      <c r="B78" s="26" t="s">
        <v>1299</v>
      </c>
      <c r="C78" s="26" t="s">
        <v>1314</v>
      </c>
      <c r="D78" s="26" t="s">
        <v>1346</v>
      </c>
      <c r="E78" s="26" t="s">
        <v>1353</v>
      </c>
      <c r="F78" s="26" t="s">
        <v>1441</v>
      </c>
      <c r="G78" s="26" t="s">
        <v>1304</v>
      </c>
      <c r="H78" s="26" t="s">
        <v>1305</v>
      </c>
      <c r="I78" s="26" t="s">
        <v>1306</v>
      </c>
      <c r="J78" s="26" t="s">
        <v>1365</v>
      </c>
    </row>
    <row r="79" spans="1:10" ht="16.5" hidden="1" x14ac:dyDescent="0.2">
      <c r="A79" s="26" t="s">
        <v>1444</v>
      </c>
      <c r="B79" s="26" t="s">
        <v>1299</v>
      </c>
      <c r="C79" s="26" t="s">
        <v>1314</v>
      </c>
      <c r="D79" s="26" t="s">
        <v>1393</v>
      </c>
      <c r="E79" s="26" t="s">
        <v>1395</v>
      </c>
      <c r="F79" s="26" t="s">
        <v>1445</v>
      </c>
      <c r="G79" s="26" t="s">
        <v>1304</v>
      </c>
      <c r="H79" s="26" t="s">
        <v>1305</v>
      </c>
      <c r="I79" s="26" t="s">
        <v>1306</v>
      </c>
      <c r="J79" s="26" t="s">
        <v>1319</v>
      </c>
    </row>
    <row r="80" spans="1:10" ht="16.5" hidden="1" x14ac:dyDescent="0.2">
      <c r="A80" s="26" t="s">
        <v>1446</v>
      </c>
      <c r="B80" s="26" t="s">
        <v>1299</v>
      </c>
      <c r="C80" s="26" t="s">
        <v>1314</v>
      </c>
      <c r="D80" s="26" t="s">
        <v>1393</v>
      </c>
      <c r="E80" s="26" t="s">
        <v>1395</v>
      </c>
      <c r="F80" s="26" t="s">
        <v>1445</v>
      </c>
      <c r="G80" s="26" t="s">
        <v>1304</v>
      </c>
      <c r="H80" s="26" t="s">
        <v>1305</v>
      </c>
      <c r="I80" s="26" t="s">
        <v>1306</v>
      </c>
      <c r="J80" s="26" t="s">
        <v>1319</v>
      </c>
    </row>
    <row r="81" spans="1:10" ht="16.5" hidden="1" x14ac:dyDescent="0.2">
      <c r="A81" s="26" t="s">
        <v>1447</v>
      </c>
      <c r="B81" s="26" t="s">
        <v>1299</v>
      </c>
      <c r="C81" s="26" t="s">
        <v>1314</v>
      </c>
      <c r="D81" s="26" t="s">
        <v>1393</v>
      </c>
      <c r="E81" s="26" t="s">
        <v>1353</v>
      </c>
      <c r="F81" s="26" t="s">
        <v>1448</v>
      </c>
      <c r="G81" s="26" t="s">
        <v>1304</v>
      </c>
      <c r="H81" s="26" t="s">
        <v>1305</v>
      </c>
      <c r="I81" s="26" t="s">
        <v>1306</v>
      </c>
      <c r="J81" s="26" t="s">
        <v>1319</v>
      </c>
    </row>
    <row r="82" spans="1:10" ht="16.5" hidden="1" x14ac:dyDescent="0.2">
      <c r="A82" s="26" t="s">
        <v>1449</v>
      </c>
      <c r="B82" s="26" t="s">
        <v>1299</v>
      </c>
      <c r="C82" s="26" t="s">
        <v>1314</v>
      </c>
      <c r="D82" s="26" t="s">
        <v>1393</v>
      </c>
      <c r="E82" s="26" t="s">
        <v>1353</v>
      </c>
      <c r="F82" s="26" t="s">
        <v>1450</v>
      </c>
      <c r="G82" s="26" t="s">
        <v>1304</v>
      </c>
      <c r="H82" s="26" t="s">
        <v>1305</v>
      </c>
      <c r="I82" s="26" t="s">
        <v>1306</v>
      </c>
      <c r="J82" s="26" t="s">
        <v>1319</v>
      </c>
    </row>
    <row r="83" spans="1:10" ht="16.5" hidden="1" x14ac:dyDescent="0.2">
      <c r="A83" s="26" t="s">
        <v>1451</v>
      </c>
      <c r="B83" s="26" t="s">
        <v>1299</v>
      </c>
      <c r="C83" s="26" t="s">
        <v>1314</v>
      </c>
      <c r="D83" s="26" t="s">
        <v>1315</v>
      </c>
      <c r="E83" s="26" t="s">
        <v>1430</v>
      </c>
      <c r="F83" s="26" t="s">
        <v>1452</v>
      </c>
      <c r="G83" s="26" t="s">
        <v>1304</v>
      </c>
      <c r="H83" s="26" t="s">
        <v>1305</v>
      </c>
      <c r="I83" s="26" t="s">
        <v>1313</v>
      </c>
      <c r="J83" s="26" t="s">
        <v>1365</v>
      </c>
    </row>
    <row r="84" spans="1:10" ht="16.5" hidden="1" x14ac:dyDescent="0.2">
      <c r="A84" s="26" t="s">
        <v>1453</v>
      </c>
      <c r="B84" s="26" t="s">
        <v>1299</v>
      </c>
      <c r="C84" s="26" t="s">
        <v>1314</v>
      </c>
      <c r="D84" s="26" t="s">
        <v>1393</v>
      </c>
      <c r="E84" s="26" t="s">
        <v>1395</v>
      </c>
      <c r="F84" s="26" t="s">
        <v>1452</v>
      </c>
      <c r="G84" s="26" t="s">
        <v>1304</v>
      </c>
      <c r="H84" s="26" t="s">
        <v>1305</v>
      </c>
      <c r="I84" s="26" t="s">
        <v>1306</v>
      </c>
      <c r="J84" s="26" t="s">
        <v>1319</v>
      </c>
    </row>
    <row r="85" spans="1:10" ht="16.5" hidden="1" x14ac:dyDescent="0.2">
      <c r="A85" s="26" t="s">
        <v>32</v>
      </c>
      <c r="B85" s="26" t="s">
        <v>1299</v>
      </c>
      <c r="C85" s="26" t="s">
        <v>1314</v>
      </c>
      <c r="D85" s="26" t="s">
        <v>1315</v>
      </c>
      <c r="E85" s="26" t="s">
        <v>1353</v>
      </c>
      <c r="F85" s="26" t="s">
        <v>1454</v>
      </c>
      <c r="G85" s="26" t="s">
        <v>1304</v>
      </c>
      <c r="H85" s="26" t="s">
        <v>1305</v>
      </c>
      <c r="I85" s="26" t="s">
        <v>1306</v>
      </c>
      <c r="J85" s="26" t="s">
        <v>1319</v>
      </c>
    </row>
    <row r="86" spans="1:10" ht="16.5" hidden="1" x14ac:dyDescent="0.2">
      <c r="A86" s="26" t="s">
        <v>1455</v>
      </c>
      <c r="B86" s="26" t="s">
        <v>1299</v>
      </c>
      <c r="C86" s="26" t="s">
        <v>1314</v>
      </c>
      <c r="D86" s="26" t="s">
        <v>1346</v>
      </c>
      <c r="E86" s="26" t="s">
        <v>1456</v>
      </c>
      <c r="F86" s="26" t="s">
        <v>1457</v>
      </c>
      <c r="G86" s="26" t="s">
        <v>1304</v>
      </c>
      <c r="H86" s="26" t="s">
        <v>1305</v>
      </c>
      <c r="I86" s="26" t="s">
        <v>1306</v>
      </c>
      <c r="J86" s="26" t="s">
        <v>1319</v>
      </c>
    </row>
    <row r="87" spans="1:10" ht="16.5" hidden="1" x14ac:dyDescent="0.2">
      <c r="A87" s="26" t="s">
        <v>23</v>
      </c>
      <c r="B87" s="26" t="s">
        <v>1413</v>
      </c>
      <c r="C87" s="26" t="s">
        <v>1300</v>
      </c>
      <c r="D87" s="26" t="s">
        <v>1458</v>
      </c>
      <c r="E87" s="26" t="s">
        <v>1390</v>
      </c>
      <c r="F87" s="26" t="s">
        <v>1459</v>
      </c>
      <c r="G87" s="26" t="s">
        <v>1304</v>
      </c>
      <c r="H87" s="26" t="s">
        <v>1298</v>
      </c>
      <c r="I87" s="26" t="s">
        <v>1298</v>
      </c>
      <c r="J87" s="26" t="s">
        <v>1298</v>
      </c>
    </row>
    <row r="88" spans="1:10" ht="16.5" hidden="1" x14ac:dyDescent="0.2">
      <c r="A88" s="26" t="s">
        <v>354</v>
      </c>
      <c r="B88" s="26" t="s">
        <v>1299</v>
      </c>
      <c r="C88" s="26" t="s">
        <v>1314</v>
      </c>
      <c r="D88" s="26" t="s">
        <v>1393</v>
      </c>
      <c r="E88" s="26" t="s">
        <v>1395</v>
      </c>
      <c r="F88" s="26" t="s">
        <v>1459</v>
      </c>
      <c r="G88" s="26" t="s">
        <v>1304</v>
      </c>
      <c r="H88" s="26" t="s">
        <v>1305</v>
      </c>
      <c r="I88" s="26" t="s">
        <v>1306</v>
      </c>
      <c r="J88" s="26" t="s">
        <v>1319</v>
      </c>
    </row>
    <row r="89" spans="1:10" ht="16.5" hidden="1" x14ac:dyDescent="0.2">
      <c r="A89" s="26" t="s">
        <v>1460</v>
      </c>
      <c r="B89" s="26" t="s">
        <v>1299</v>
      </c>
      <c r="C89" s="26" t="s">
        <v>1314</v>
      </c>
      <c r="D89" s="26" t="s">
        <v>1315</v>
      </c>
      <c r="E89" s="26" t="s">
        <v>1353</v>
      </c>
      <c r="F89" s="26" t="s">
        <v>1461</v>
      </c>
      <c r="G89" s="26" t="s">
        <v>1304</v>
      </c>
      <c r="H89" s="26" t="s">
        <v>1305</v>
      </c>
      <c r="I89" s="26" t="s">
        <v>1306</v>
      </c>
      <c r="J89" s="26" t="s">
        <v>1319</v>
      </c>
    </row>
    <row r="90" spans="1:10" ht="16.5" hidden="1" x14ac:dyDescent="0.2">
      <c r="A90" s="26" t="s">
        <v>1462</v>
      </c>
      <c r="B90" s="26" t="s">
        <v>1299</v>
      </c>
      <c r="C90" s="26" t="s">
        <v>1314</v>
      </c>
      <c r="D90" s="26" t="s">
        <v>1393</v>
      </c>
      <c r="E90" s="26" t="s">
        <v>1353</v>
      </c>
      <c r="F90" s="26" t="s">
        <v>1461</v>
      </c>
      <c r="G90" s="26" t="s">
        <v>1304</v>
      </c>
      <c r="H90" s="26" t="s">
        <v>1305</v>
      </c>
      <c r="I90" s="26" t="s">
        <v>1306</v>
      </c>
      <c r="J90" s="26" t="s">
        <v>1319</v>
      </c>
    </row>
    <row r="91" spans="1:10" ht="16.5" hidden="1" x14ac:dyDescent="0.2">
      <c r="A91" s="26" t="s">
        <v>1463</v>
      </c>
      <c r="B91" s="26" t="s">
        <v>1299</v>
      </c>
      <c r="C91" s="26" t="s">
        <v>1314</v>
      </c>
      <c r="D91" s="26" t="s">
        <v>1346</v>
      </c>
      <c r="E91" s="26" t="s">
        <v>1456</v>
      </c>
      <c r="F91" s="26" t="s">
        <v>1461</v>
      </c>
      <c r="G91" s="26" t="s">
        <v>1304</v>
      </c>
      <c r="H91" s="26" t="s">
        <v>1305</v>
      </c>
      <c r="I91" s="26" t="s">
        <v>1306</v>
      </c>
      <c r="J91" s="26" t="s">
        <v>1319</v>
      </c>
    </row>
    <row r="92" spans="1:10" ht="16.5" hidden="1" x14ac:dyDescent="0.2">
      <c r="A92" s="26" t="s">
        <v>1464</v>
      </c>
      <c r="B92" s="26" t="s">
        <v>1299</v>
      </c>
      <c r="C92" s="26" t="s">
        <v>1314</v>
      </c>
      <c r="D92" s="26" t="s">
        <v>1346</v>
      </c>
      <c r="E92" s="26" t="s">
        <v>1456</v>
      </c>
      <c r="F92" s="26" t="s">
        <v>1461</v>
      </c>
      <c r="G92" s="26" t="s">
        <v>1304</v>
      </c>
      <c r="H92" s="26" t="s">
        <v>1305</v>
      </c>
      <c r="I92" s="26" t="s">
        <v>1306</v>
      </c>
      <c r="J92" s="26" t="s">
        <v>1319</v>
      </c>
    </row>
    <row r="93" spans="1:10" ht="16.5" hidden="1" x14ac:dyDescent="0.2">
      <c r="A93" s="26" t="s">
        <v>1465</v>
      </c>
      <c r="B93" s="26" t="s">
        <v>1299</v>
      </c>
      <c r="C93" s="26" t="s">
        <v>1314</v>
      </c>
      <c r="D93" s="26" t="s">
        <v>1346</v>
      </c>
      <c r="E93" s="26" t="s">
        <v>1353</v>
      </c>
      <c r="F93" s="26" t="s">
        <v>1461</v>
      </c>
      <c r="G93" s="26" t="s">
        <v>1304</v>
      </c>
      <c r="H93" s="26" t="s">
        <v>1305</v>
      </c>
      <c r="I93" s="26" t="s">
        <v>1306</v>
      </c>
      <c r="J93" s="26" t="s">
        <v>1365</v>
      </c>
    </row>
    <row r="94" spans="1:10" ht="16.5" hidden="1" x14ac:dyDescent="0.2">
      <c r="A94" s="26" t="s">
        <v>1466</v>
      </c>
      <c r="B94" s="26" t="s">
        <v>1299</v>
      </c>
      <c r="C94" s="26" t="s">
        <v>1314</v>
      </c>
      <c r="D94" s="26" t="s">
        <v>1393</v>
      </c>
      <c r="E94" s="26" t="s">
        <v>1353</v>
      </c>
      <c r="F94" s="26" t="s">
        <v>1467</v>
      </c>
      <c r="G94" s="26" t="s">
        <v>1304</v>
      </c>
      <c r="H94" s="26" t="s">
        <v>1305</v>
      </c>
      <c r="I94" s="26" t="s">
        <v>1306</v>
      </c>
      <c r="J94" s="26" t="s">
        <v>1319</v>
      </c>
    </row>
    <row r="95" spans="1:10" ht="16.5" hidden="1" x14ac:dyDescent="0.2">
      <c r="A95" s="26" t="s">
        <v>1468</v>
      </c>
      <c r="B95" s="26" t="s">
        <v>1299</v>
      </c>
      <c r="C95" s="26" t="s">
        <v>1314</v>
      </c>
      <c r="D95" s="26" t="s">
        <v>1393</v>
      </c>
      <c r="E95" s="26" t="s">
        <v>1353</v>
      </c>
      <c r="F95" s="26" t="s">
        <v>1469</v>
      </c>
      <c r="G95" s="26" t="s">
        <v>1304</v>
      </c>
      <c r="H95" s="26" t="s">
        <v>1305</v>
      </c>
      <c r="I95" s="26" t="s">
        <v>1306</v>
      </c>
      <c r="J95" s="26" t="s">
        <v>1319</v>
      </c>
    </row>
    <row r="96" spans="1:10" ht="16.5" hidden="1" x14ac:dyDescent="0.2">
      <c r="A96" s="26" t="s">
        <v>181</v>
      </c>
      <c r="B96" s="26" t="s">
        <v>1413</v>
      </c>
      <c r="C96" s="26" t="s">
        <v>1470</v>
      </c>
      <c r="D96" s="26" t="s">
        <v>1471</v>
      </c>
      <c r="E96" s="26" t="s">
        <v>1344</v>
      </c>
      <c r="F96" s="26" t="s">
        <v>1472</v>
      </c>
      <c r="G96" s="26" t="s">
        <v>1304</v>
      </c>
      <c r="H96" s="26" t="s">
        <v>1305</v>
      </c>
      <c r="I96" s="26" t="s">
        <v>1306</v>
      </c>
      <c r="J96" s="26" t="s">
        <v>1307</v>
      </c>
    </row>
    <row r="97" spans="1:10" ht="16.5" hidden="1" x14ac:dyDescent="0.2">
      <c r="A97" s="26" t="s">
        <v>1473</v>
      </c>
      <c r="B97" s="26" t="s">
        <v>1299</v>
      </c>
      <c r="C97" s="26" t="s">
        <v>1314</v>
      </c>
      <c r="D97" s="26" t="s">
        <v>1346</v>
      </c>
      <c r="E97" s="26" t="s">
        <v>1415</v>
      </c>
      <c r="F97" s="26" t="s">
        <v>1474</v>
      </c>
      <c r="G97" s="26" t="s">
        <v>1304</v>
      </c>
      <c r="H97" s="26" t="s">
        <v>1305</v>
      </c>
      <c r="I97" s="26" t="s">
        <v>1363</v>
      </c>
      <c r="J97" s="26" t="s">
        <v>1428</v>
      </c>
    </row>
    <row r="98" spans="1:10" ht="16.5" hidden="1" x14ac:dyDescent="0.2">
      <c r="A98" s="26" t="s">
        <v>8</v>
      </c>
      <c r="B98" s="26" t="s">
        <v>1299</v>
      </c>
      <c r="C98" s="26" t="s">
        <v>1314</v>
      </c>
      <c r="D98" s="26" t="s">
        <v>1346</v>
      </c>
      <c r="E98" s="26" t="s">
        <v>1415</v>
      </c>
      <c r="F98" s="26" t="s">
        <v>1474</v>
      </c>
      <c r="G98" s="26" t="s">
        <v>1304</v>
      </c>
      <c r="H98" s="26" t="s">
        <v>1305</v>
      </c>
      <c r="I98" s="26" t="s">
        <v>1363</v>
      </c>
      <c r="J98" s="26" t="s">
        <v>1428</v>
      </c>
    </row>
    <row r="99" spans="1:10" ht="16.5" hidden="1" x14ac:dyDescent="0.2">
      <c r="A99" s="26" t="s">
        <v>10</v>
      </c>
      <c r="B99" s="26" t="s">
        <v>1299</v>
      </c>
      <c r="C99" s="26" t="s">
        <v>1314</v>
      </c>
      <c r="D99" s="26" t="s">
        <v>1346</v>
      </c>
      <c r="E99" s="26" t="s">
        <v>1415</v>
      </c>
      <c r="F99" s="26" t="s">
        <v>1474</v>
      </c>
      <c r="G99" s="26" t="s">
        <v>1304</v>
      </c>
      <c r="H99" s="26" t="s">
        <v>1305</v>
      </c>
      <c r="I99" s="26" t="s">
        <v>1363</v>
      </c>
      <c r="J99" s="26" t="s">
        <v>1428</v>
      </c>
    </row>
    <row r="100" spans="1:10" ht="16.5" hidden="1" x14ac:dyDescent="0.2">
      <c r="A100" s="26" t="s">
        <v>12</v>
      </c>
      <c r="B100" s="26" t="s">
        <v>1299</v>
      </c>
      <c r="C100" s="26" t="s">
        <v>1314</v>
      </c>
      <c r="D100" s="26" t="s">
        <v>1346</v>
      </c>
      <c r="E100" s="26" t="s">
        <v>1415</v>
      </c>
      <c r="F100" s="26" t="s">
        <v>1474</v>
      </c>
      <c r="G100" s="26" t="s">
        <v>1304</v>
      </c>
      <c r="H100" s="26" t="s">
        <v>1305</v>
      </c>
      <c r="I100" s="26" t="s">
        <v>1363</v>
      </c>
      <c r="J100" s="26" t="s">
        <v>1428</v>
      </c>
    </row>
    <row r="101" spans="1:10" ht="16.5" hidden="1" x14ac:dyDescent="0.2">
      <c r="A101" s="26" t="s">
        <v>17</v>
      </c>
      <c r="B101" s="26" t="s">
        <v>1413</v>
      </c>
      <c r="C101" s="26" t="s">
        <v>1300</v>
      </c>
      <c r="D101" s="26" t="s">
        <v>1475</v>
      </c>
      <c r="E101" s="26" t="s">
        <v>1476</v>
      </c>
      <c r="F101" s="26" t="s">
        <v>1474</v>
      </c>
      <c r="G101" s="26" t="s">
        <v>1304</v>
      </c>
      <c r="H101" s="26" t="s">
        <v>1305</v>
      </c>
      <c r="I101" s="26" t="s">
        <v>1306</v>
      </c>
      <c r="J101" s="26" t="s">
        <v>1477</v>
      </c>
    </row>
    <row r="102" spans="1:10" ht="16.5" hidden="1" x14ac:dyDescent="0.2">
      <c r="A102" s="26" t="s">
        <v>1479</v>
      </c>
      <c r="B102" s="26" t="s">
        <v>1299</v>
      </c>
      <c r="C102" s="26" t="s">
        <v>1314</v>
      </c>
      <c r="D102" s="26" t="s">
        <v>1478</v>
      </c>
      <c r="E102" s="26" t="s">
        <v>1480</v>
      </c>
      <c r="F102" s="26" t="s">
        <v>1481</v>
      </c>
      <c r="G102" s="26" t="s">
        <v>1304</v>
      </c>
      <c r="H102" s="26" t="s">
        <v>1305</v>
      </c>
      <c r="I102" s="26" t="s">
        <v>1306</v>
      </c>
      <c r="J102" s="26" t="s">
        <v>1307</v>
      </c>
    </row>
    <row r="103" spans="1:10" ht="16.5" hidden="1" x14ac:dyDescent="0.2">
      <c r="A103" s="26" t="s">
        <v>1482</v>
      </c>
      <c r="B103" s="26" t="s">
        <v>1299</v>
      </c>
      <c r="C103" s="26" t="s">
        <v>1314</v>
      </c>
      <c r="D103" s="26" t="s">
        <v>1393</v>
      </c>
      <c r="E103" s="26" t="s">
        <v>1353</v>
      </c>
      <c r="F103" s="26" t="s">
        <v>1483</v>
      </c>
      <c r="G103" s="26" t="s">
        <v>1304</v>
      </c>
      <c r="H103" s="26" t="s">
        <v>1305</v>
      </c>
      <c r="I103" s="26" t="s">
        <v>1306</v>
      </c>
      <c r="J103" s="26" t="s">
        <v>1319</v>
      </c>
    </row>
    <row r="104" spans="1:10" ht="16.5" hidden="1" x14ac:dyDescent="0.2">
      <c r="A104" s="26" t="s">
        <v>1484</v>
      </c>
      <c r="B104" s="26" t="s">
        <v>1299</v>
      </c>
      <c r="C104" s="26" t="s">
        <v>1314</v>
      </c>
      <c r="D104" s="26" t="s">
        <v>1315</v>
      </c>
      <c r="E104" s="26" t="s">
        <v>1353</v>
      </c>
      <c r="F104" s="26" t="s">
        <v>1483</v>
      </c>
      <c r="G104" s="26" t="s">
        <v>1304</v>
      </c>
      <c r="H104" s="26" t="s">
        <v>1305</v>
      </c>
      <c r="I104" s="26" t="s">
        <v>1306</v>
      </c>
      <c r="J104" s="26" t="s">
        <v>1319</v>
      </c>
    </row>
    <row r="105" spans="1:10" ht="16.5" hidden="1" x14ac:dyDescent="0.2">
      <c r="A105" s="26" t="s">
        <v>1485</v>
      </c>
      <c r="B105" s="26" t="s">
        <v>1299</v>
      </c>
      <c r="C105" s="26" t="s">
        <v>1314</v>
      </c>
      <c r="D105" s="26" t="s">
        <v>1346</v>
      </c>
      <c r="E105" s="26" t="s">
        <v>1456</v>
      </c>
      <c r="F105" s="26" t="s">
        <v>1486</v>
      </c>
      <c r="G105" s="26" t="s">
        <v>1304</v>
      </c>
      <c r="H105" s="26" t="s">
        <v>1305</v>
      </c>
      <c r="I105" s="26" t="s">
        <v>1306</v>
      </c>
      <c r="J105" s="26" t="s">
        <v>1319</v>
      </c>
    </row>
    <row r="106" spans="1:10" ht="16.5" hidden="1" x14ac:dyDescent="0.2">
      <c r="A106" s="26" t="s">
        <v>1487</v>
      </c>
      <c r="B106" s="26" t="s">
        <v>1299</v>
      </c>
      <c r="C106" s="26" t="s">
        <v>1314</v>
      </c>
      <c r="D106" s="26" t="s">
        <v>1346</v>
      </c>
      <c r="E106" s="26" t="s">
        <v>1456</v>
      </c>
      <c r="F106" s="26" t="s">
        <v>1486</v>
      </c>
      <c r="G106" s="26" t="s">
        <v>1304</v>
      </c>
      <c r="H106" s="26" t="s">
        <v>1305</v>
      </c>
      <c r="I106" s="26" t="s">
        <v>1306</v>
      </c>
      <c r="J106" s="26" t="s">
        <v>1319</v>
      </c>
    </row>
    <row r="107" spans="1:10" ht="16.5" hidden="1" x14ac:dyDescent="0.2">
      <c r="A107" s="26" t="s">
        <v>18</v>
      </c>
      <c r="B107" s="26" t="s">
        <v>1413</v>
      </c>
      <c r="C107" s="26" t="s">
        <v>1300</v>
      </c>
      <c r="D107" s="26" t="s">
        <v>1475</v>
      </c>
      <c r="E107" s="26" t="s">
        <v>1488</v>
      </c>
      <c r="F107" s="26" t="s">
        <v>1489</v>
      </c>
      <c r="G107" s="26" t="s">
        <v>1304</v>
      </c>
      <c r="H107" s="26" t="s">
        <v>1417</v>
      </c>
      <c r="I107" s="26" t="s">
        <v>1363</v>
      </c>
      <c r="J107" s="26" t="s">
        <v>1319</v>
      </c>
    </row>
    <row r="108" spans="1:10" ht="16.5" hidden="1" x14ac:dyDescent="0.2">
      <c r="A108" s="26" t="s">
        <v>82</v>
      </c>
      <c r="B108" s="26" t="s">
        <v>1299</v>
      </c>
      <c r="C108" s="26" t="s">
        <v>1314</v>
      </c>
      <c r="D108" s="26" t="s">
        <v>1490</v>
      </c>
      <c r="E108" s="26" t="s">
        <v>1491</v>
      </c>
      <c r="F108" s="26" t="s">
        <v>1489</v>
      </c>
      <c r="G108" s="26" t="s">
        <v>1304</v>
      </c>
      <c r="H108" s="26" t="s">
        <v>1305</v>
      </c>
      <c r="I108" s="26" t="s">
        <v>1306</v>
      </c>
      <c r="J108" s="26" t="s">
        <v>1319</v>
      </c>
    </row>
    <row r="109" spans="1:10" ht="16.5" hidden="1" x14ac:dyDescent="0.2">
      <c r="A109" s="26" t="s">
        <v>54</v>
      </c>
      <c r="B109" s="26" t="s">
        <v>1299</v>
      </c>
      <c r="C109" s="26" t="s">
        <v>1314</v>
      </c>
      <c r="D109" s="26" t="s">
        <v>1346</v>
      </c>
      <c r="E109" s="26" t="s">
        <v>1415</v>
      </c>
      <c r="F109" s="26" t="s">
        <v>1489</v>
      </c>
      <c r="G109" s="26" t="s">
        <v>1304</v>
      </c>
      <c r="H109" s="26" t="s">
        <v>1305</v>
      </c>
      <c r="I109" s="26" t="s">
        <v>1363</v>
      </c>
      <c r="J109" s="26" t="s">
        <v>1428</v>
      </c>
    </row>
    <row r="110" spans="1:10" ht="16.5" hidden="1" x14ac:dyDescent="0.2">
      <c r="A110" s="26" t="s">
        <v>313</v>
      </c>
      <c r="B110" s="26" t="s">
        <v>1299</v>
      </c>
      <c r="C110" s="26" t="s">
        <v>1314</v>
      </c>
      <c r="D110" s="26" t="s">
        <v>1343</v>
      </c>
      <c r="E110" s="26" t="s">
        <v>1302</v>
      </c>
      <c r="F110" s="26" t="s">
        <v>1492</v>
      </c>
      <c r="G110" s="26" t="s">
        <v>1304</v>
      </c>
      <c r="H110" s="26" t="s">
        <v>1298</v>
      </c>
      <c r="I110" s="26" t="s">
        <v>1298</v>
      </c>
      <c r="J110" s="26" t="s">
        <v>1298</v>
      </c>
    </row>
    <row r="111" spans="1:10" ht="16.5" hidden="1" x14ac:dyDescent="0.2">
      <c r="A111" s="26" t="s">
        <v>1493</v>
      </c>
      <c r="B111" s="26" t="s">
        <v>1299</v>
      </c>
      <c r="C111" s="26" t="s">
        <v>1314</v>
      </c>
      <c r="D111" s="26" t="s">
        <v>1346</v>
      </c>
      <c r="E111" s="26" t="s">
        <v>1353</v>
      </c>
      <c r="F111" s="26" t="s">
        <v>1494</v>
      </c>
      <c r="G111" s="26" t="s">
        <v>1304</v>
      </c>
      <c r="H111" s="26" t="s">
        <v>1305</v>
      </c>
      <c r="I111" s="26" t="s">
        <v>1306</v>
      </c>
      <c r="J111" s="26" t="s">
        <v>1365</v>
      </c>
    </row>
    <row r="112" spans="1:10" ht="16.5" hidden="1" x14ac:dyDescent="0.2">
      <c r="A112" s="26" t="s">
        <v>84</v>
      </c>
      <c r="B112" s="26" t="s">
        <v>1299</v>
      </c>
      <c r="C112" s="26" t="s">
        <v>1314</v>
      </c>
      <c r="D112" s="26" t="s">
        <v>1495</v>
      </c>
      <c r="E112" s="26" t="s">
        <v>1496</v>
      </c>
      <c r="F112" s="26" t="s">
        <v>1497</v>
      </c>
      <c r="G112" s="26" t="s">
        <v>1304</v>
      </c>
      <c r="H112" s="26" t="s">
        <v>1312</v>
      </c>
      <c r="I112" s="26" t="s">
        <v>1313</v>
      </c>
      <c r="J112" s="26" t="s">
        <v>1365</v>
      </c>
    </row>
    <row r="113" spans="1:10" ht="16.5" hidden="1" x14ac:dyDescent="0.2">
      <c r="A113" s="26" t="s">
        <v>1498</v>
      </c>
      <c r="B113" s="26" t="s">
        <v>1299</v>
      </c>
      <c r="C113" s="26" t="s">
        <v>1314</v>
      </c>
      <c r="D113" s="26" t="s">
        <v>1393</v>
      </c>
      <c r="E113" s="26" t="s">
        <v>1364</v>
      </c>
      <c r="F113" s="26" t="s">
        <v>1497</v>
      </c>
      <c r="G113" s="26" t="s">
        <v>1304</v>
      </c>
      <c r="H113" s="26" t="s">
        <v>1305</v>
      </c>
      <c r="I113" s="26" t="s">
        <v>1306</v>
      </c>
      <c r="J113" s="26" t="s">
        <v>1319</v>
      </c>
    </row>
    <row r="114" spans="1:10" ht="16.5" hidden="1" x14ac:dyDescent="0.2">
      <c r="A114" s="26" t="s">
        <v>72</v>
      </c>
      <c r="B114" s="26" t="s">
        <v>1413</v>
      </c>
      <c r="C114" s="26" t="s">
        <v>1470</v>
      </c>
      <c r="D114" s="26" t="s">
        <v>1471</v>
      </c>
      <c r="E114" s="26" t="s">
        <v>1344</v>
      </c>
      <c r="F114" s="26" t="s">
        <v>1499</v>
      </c>
      <c r="G114" s="26" t="s">
        <v>1304</v>
      </c>
      <c r="H114" s="26" t="s">
        <v>1305</v>
      </c>
      <c r="I114" s="26" t="s">
        <v>1306</v>
      </c>
      <c r="J114" s="26" t="s">
        <v>1307</v>
      </c>
    </row>
    <row r="115" spans="1:10" ht="16.5" hidden="1" x14ac:dyDescent="0.2">
      <c r="A115" s="26" t="s">
        <v>86</v>
      </c>
      <c r="B115" s="26" t="s">
        <v>1299</v>
      </c>
      <c r="C115" s="26" t="s">
        <v>1314</v>
      </c>
      <c r="D115" s="26" t="s">
        <v>1393</v>
      </c>
      <c r="E115" s="26" t="s">
        <v>1395</v>
      </c>
      <c r="F115" s="26" t="s">
        <v>1500</v>
      </c>
      <c r="G115" s="26" t="s">
        <v>1304</v>
      </c>
      <c r="H115" s="26" t="s">
        <v>1305</v>
      </c>
      <c r="I115" s="26" t="s">
        <v>1306</v>
      </c>
      <c r="J115" s="26" t="s">
        <v>1319</v>
      </c>
    </row>
    <row r="116" spans="1:10" ht="16.5" hidden="1" x14ac:dyDescent="0.2">
      <c r="A116" s="26" t="s">
        <v>1501</v>
      </c>
      <c r="B116" s="26" t="s">
        <v>1299</v>
      </c>
      <c r="C116" s="26" t="s">
        <v>1314</v>
      </c>
      <c r="D116" s="26" t="s">
        <v>1393</v>
      </c>
      <c r="E116" s="26" t="s">
        <v>1502</v>
      </c>
      <c r="F116" s="26" t="s">
        <v>1503</v>
      </c>
      <c r="G116" s="26" t="s">
        <v>1304</v>
      </c>
      <c r="H116" s="26" t="s">
        <v>1305</v>
      </c>
      <c r="I116" s="26" t="s">
        <v>1306</v>
      </c>
      <c r="J116" s="26" t="s">
        <v>1319</v>
      </c>
    </row>
    <row r="117" spans="1:10" ht="16.5" hidden="1" x14ac:dyDescent="0.2">
      <c r="A117" s="26" t="s">
        <v>1504</v>
      </c>
      <c r="B117" s="26" t="s">
        <v>1299</v>
      </c>
      <c r="C117" s="26" t="s">
        <v>1314</v>
      </c>
      <c r="D117" s="26" t="s">
        <v>1393</v>
      </c>
      <c r="E117" s="26" t="s">
        <v>1502</v>
      </c>
      <c r="F117" s="26" t="s">
        <v>1503</v>
      </c>
      <c r="G117" s="26" t="s">
        <v>1304</v>
      </c>
      <c r="H117" s="26" t="s">
        <v>1305</v>
      </c>
      <c r="I117" s="26" t="s">
        <v>1306</v>
      </c>
      <c r="J117" s="26" t="s">
        <v>1319</v>
      </c>
    </row>
    <row r="118" spans="1:10" ht="16.5" hidden="1" x14ac:dyDescent="0.2">
      <c r="A118" s="26" t="s">
        <v>1505</v>
      </c>
      <c r="B118" s="26" t="s">
        <v>1299</v>
      </c>
      <c r="C118" s="26" t="s">
        <v>1314</v>
      </c>
      <c r="D118" s="26" t="s">
        <v>1393</v>
      </c>
      <c r="E118" s="26" t="s">
        <v>1502</v>
      </c>
      <c r="F118" s="26" t="s">
        <v>1503</v>
      </c>
      <c r="G118" s="26" t="s">
        <v>1304</v>
      </c>
      <c r="H118" s="26" t="s">
        <v>1305</v>
      </c>
      <c r="I118" s="26" t="s">
        <v>1306</v>
      </c>
      <c r="J118" s="26" t="s">
        <v>1319</v>
      </c>
    </row>
    <row r="119" spans="1:10" ht="16.5" hidden="1" x14ac:dyDescent="0.2">
      <c r="A119" s="26" t="s">
        <v>52</v>
      </c>
      <c r="B119" s="26" t="s">
        <v>1299</v>
      </c>
      <c r="C119" s="26" t="s">
        <v>1314</v>
      </c>
      <c r="D119" s="26" t="s">
        <v>1506</v>
      </c>
      <c r="E119" s="26" t="s">
        <v>1395</v>
      </c>
      <c r="F119" s="26" t="s">
        <v>1507</v>
      </c>
      <c r="G119" s="26" t="s">
        <v>1304</v>
      </c>
      <c r="H119" s="26" t="s">
        <v>1298</v>
      </c>
      <c r="I119" s="26" t="s">
        <v>1298</v>
      </c>
      <c r="J119" s="26" t="s">
        <v>1298</v>
      </c>
    </row>
    <row r="120" spans="1:10" ht="16.5" hidden="1" x14ac:dyDescent="0.2">
      <c r="A120" s="26" t="s">
        <v>1508</v>
      </c>
      <c r="B120" s="26" t="s">
        <v>1299</v>
      </c>
      <c r="C120" s="26" t="s">
        <v>1314</v>
      </c>
      <c r="D120" s="26" t="s">
        <v>1506</v>
      </c>
      <c r="E120" s="26" t="s">
        <v>1395</v>
      </c>
      <c r="F120" s="26" t="s">
        <v>1507</v>
      </c>
      <c r="G120" s="26" t="s">
        <v>1304</v>
      </c>
      <c r="H120" s="26" t="s">
        <v>1298</v>
      </c>
      <c r="I120" s="26" t="s">
        <v>1298</v>
      </c>
      <c r="J120" s="26" t="s">
        <v>1298</v>
      </c>
    </row>
    <row r="121" spans="1:10" ht="16.5" hidden="1" x14ac:dyDescent="0.2">
      <c r="A121" s="26" t="s">
        <v>1509</v>
      </c>
      <c r="B121" s="26" t="s">
        <v>1299</v>
      </c>
      <c r="C121" s="26" t="s">
        <v>1314</v>
      </c>
      <c r="D121" s="26" t="s">
        <v>1358</v>
      </c>
      <c r="E121" s="26" t="s">
        <v>1510</v>
      </c>
      <c r="F121" s="26" t="s">
        <v>1511</v>
      </c>
      <c r="G121" s="26" t="s">
        <v>1304</v>
      </c>
      <c r="H121" s="26" t="s">
        <v>1305</v>
      </c>
      <c r="I121" s="26" t="s">
        <v>1306</v>
      </c>
      <c r="J121" s="26" t="s">
        <v>1319</v>
      </c>
    </row>
    <row r="122" spans="1:10" ht="16.5" hidden="1" x14ac:dyDescent="0.2">
      <c r="A122" s="26" t="s">
        <v>1512</v>
      </c>
      <c r="B122" s="26" t="s">
        <v>1299</v>
      </c>
      <c r="C122" s="26" t="s">
        <v>1314</v>
      </c>
      <c r="D122" s="26" t="s">
        <v>1393</v>
      </c>
      <c r="E122" s="26" t="s">
        <v>1395</v>
      </c>
      <c r="F122" s="26" t="s">
        <v>1503</v>
      </c>
      <c r="G122" s="26" t="s">
        <v>1304</v>
      </c>
      <c r="H122" s="26" t="s">
        <v>1305</v>
      </c>
      <c r="I122" s="26" t="s">
        <v>1306</v>
      </c>
      <c r="J122" s="26" t="s">
        <v>1319</v>
      </c>
    </row>
    <row r="123" spans="1:10" ht="16.5" hidden="1" x14ac:dyDescent="0.2">
      <c r="A123" s="26" t="s">
        <v>1513</v>
      </c>
      <c r="B123" s="26" t="s">
        <v>1299</v>
      </c>
      <c r="C123" s="26" t="s">
        <v>1314</v>
      </c>
      <c r="D123" s="26" t="s">
        <v>1315</v>
      </c>
      <c r="E123" s="26" t="s">
        <v>1395</v>
      </c>
      <c r="F123" s="26" t="s">
        <v>1503</v>
      </c>
      <c r="G123" s="26" t="s">
        <v>1304</v>
      </c>
      <c r="H123" s="26" t="s">
        <v>1305</v>
      </c>
      <c r="I123" s="26" t="s">
        <v>1306</v>
      </c>
      <c r="J123" s="26" t="s">
        <v>1319</v>
      </c>
    </row>
    <row r="124" spans="1:10" ht="16.5" hidden="1" x14ac:dyDescent="0.2">
      <c r="A124" s="26" t="s">
        <v>305</v>
      </c>
      <c r="B124" s="26" t="s">
        <v>1299</v>
      </c>
      <c r="C124" s="26" t="s">
        <v>1314</v>
      </c>
      <c r="D124" s="26" t="s">
        <v>1514</v>
      </c>
      <c r="E124" s="26" t="s">
        <v>1515</v>
      </c>
      <c r="F124" s="26" t="s">
        <v>1516</v>
      </c>
      <c r="G124" s="26" t="s">
        <v>1304</v>
      </c>
      <c r="H124" s="26" t="s">
        <v>1298</v>
      </c>
      <c r="I124" s="26" t="s">
        <v>1298</v>
      </c>
      <c r="J124" s="26" t="s">
        <v>1298</v>
      </c>
    </row>
    <row r="125" spans="1:10" ht="16.5" hidden="1" x14ac:dyDescent="0.2">
      <c r="A125" s="26" t="s">
        <v>1518</v>
      </c>
      <c r="B125" s="26" t="s">
        <v>1299</v>
      </c>
      <c r="C125" s="26" t="s">
        <v>1314</v>
      </c>
      <c r="D125" s="26" t="s">
        <v>1517</v>
      </c>
      <c r="E125" s="26" t="s">
        <v>1519</v>
      </c>
      <c r="F125" s="26" t="s">
        <v>1520</v>
      </c>
      <c r="G125" s="26" t="s">
        <v>1304</v>
      </c>
      <c r="H125" s="26" t="s">
        <v>1305</v>
      </c>
      <c r="I125" s="26" t="s">
        <v>1313</v>
      </c>
      <c r="J125" s="26" t="s">
        <v>1365</v>
      </c>
    </row>
    <row r="126" spans="1:10" ht="16.5" hidden="1" x14ac:dyDescent="0.2">
      <c r="A126" s="26" t="s">
        <v>1521</v>
      </c>
      <c r="B126" s="26" t="s">
        <v>1299</v>
      </c>
      <c r="C126" s="26" t="s">
        <v>1314</v>
      </c>
      <c r="D126" s="26" t="s">
        <v>1393</v>
      </c>
      <c r="E126" s="26" t="s">
        <v>1502</v>
      </c>
      <c r="F126" s="26" t="s">
        <v>1520</v>
      </c>
      <c r="G126" s="26" t="s">
        <v>1304</v>
      </c>
      <c r="H126" s="26" t="s">
        <v>1305</v>
      </c>
      <c r="I126" s="26" t="s">
        <v>1306</v>
      </c>
      <c r="J126" s="26" t="s">
        <v>1319</v>
      </c>
    </row>
    <row r="127" spans="1:10" ht="16.5" hidden="1" x14ac:dyDescent="0.2">
      <c r="A127" s="26" t="s">
        <v>1522</v>
      </c>
      <c r="B127" s="26" t="s">
        <v>1299</v>
      </c>
      <c r="C127" s="26" t="s">
        <v>1314</v>
      </c>
      <c r="D127" s="26" t="s">
        <v>1393</v>
      </c>
      <c r="E127" s="26" t="s">
        <v>1502</v>
      </c>
      <c r="F127" s="26" t="s">
        <v>1520</v>
      </c>
      <c r="G127" s="26" t="s">
        <v>1304</v>
      </c>
      <c r="H127" s="26" t="s">
        <v>1305</v>
      </c>
      <c r="I127" s="26" t="s">
        <v>1306</v>
      </c>
      <c r="J127" s="26" t="s">
        <v>1319</v>
      </c>
    </row>
    <row r="128" spans="1:10" ht="16.5" hidden="1" x14ac:dyDescent="0.2">
      <c r="A128" s="26" t="s">
        <v>1523</v>
      </c>
      <c r="B128" s="26" t="s">
        <v>1299</v>
      </c>
      <c r="C128" s="26" t="s">
        <v>1314</v>
      </c>
      <c r="D128" s="26" t="s">
        <v>1393</v>
      </c>
      <c r="E128" s="26" t="s">
        <v>1502</v>
      </c>
      <c r="F128" s="26" t="s">
        <v>1520</v>
      </c>
      <c r="G128" s="26" t="s">
        <v>1304</v>
      </c>
      <c r="H128" s="26" t="s">
        <v>1305</v>
      </c>
      <c r="I128" s="26" t="s">
        <v>1306</v>
      </c>
      <c r="J128" s="26" t="s">
        <v>1319</v>
      </c>
    </row>
    <row r="129" spans="1:10" ht="16.5" hidden="1" x14ac:dyDescent="0.2">
      <c r="A129" s="26" t="s">
        <v>1524</v>
      </c>
      <c r="B129" s="26" t="s">
        <v>1299</v>
      </c>
      <c r="C129" s="26" t="s">
        <v>1314</v>
      </c>
      <c r="D129" s="26" t="s">
        <v>1393</v>
      </c>
      <c r="E129" s="26" t="s">
        <v>1502</v>
      </c>
      <c r="F129" s="26" t="s">
        <v>1520</v>
      </c>
      <c r="G129" s="26" t="s">
        <v>1304</v>
      </c>
      <c r="H129" s="26" t="s">
        <v>1305</v>
      </c>
      <c r="I129" s="26" t="s">
        <v>1306</v>
      </c>
      <c r="J129" s="26" t="s">
        <v>1319</v>
      </c>
    </row>
    <row r="130" spans="1:10" ht="16.5" hidden="1" x14ac:dyDescent="0.2">
      <c r="A130" s="26" t="s">
        <v>1525</v>
      </c>
      <c r="B130" s="26" t="s">
        <v>1299</v>
      </c>
      <c r="C130" s="26" t="s">
        <v>1314</v>
      </c>
      <c r="D130" s="26" t="s">
        <v>1393</v>
      </c>
      <c r="E130" s="26" t="s">
        <v>1502</v>
      </c>
      <c r="F130" s="26" t="s">
        <v>1520</v>
      </c>
      <c r="G130" s="26" t="s">
        <v>1304</v>
      </c>
      <c r="H130" s="26" t="s">
        <v>1305</v>
      </c>
      <c r="I130" s="26" t="s">
        <v>1306</v>
      </c>
      <c r="J130" s="26" t="s">
        <v>1319</v>
      </c>
    </row>
    <row r="131" spans="1:10" ht="16.5" hidden="1" x14ac:dyDescent="0.2">
      <c r="A131" s="26" t="s">
        <v>1526</v>
      </c>
      <c r="B131" s="26" t="s">
        <v>1299</v>
      </c>
      <c r="C131" s="26" t="s">
        <v>1314</v>
      </c>
      <c r="D131" s="26" t="s">
        <v>1393</v>
      </c>
      <c r="E131" s="26" t="s">
        <v>1502</v>
      </c>
      <c r="F131" s="26" t="s">
        <v>1520</v>
      </c>
      <c r="G131" s="26" t="s">
        <v>1304</v>
      </c>
      <c r="H131" s="26" t="s">
        <v>1305</v>
      </c>
      <c r="I131" s="26" t="s">
        <v>1306</v>
      </c>
      <c r="J131" s="26" t="s">
        <v>1319</v>
      </c>
    </row>
    <row r="132" spans="1:10" ht="16.5" hidden="1" x14ac:dyDescent="0.2">
      <c r="A132" s="26" t="s">
        <v>1527</v>
      </c>
      <c r="B132" s="26" t="s">
        <v>1299</v>
      </c>
      <c r="C132" s="26" t="s">
        <v>1314</v>
      </c>
      <c r="D132" s="26" t="s">
        <v>1393</v>
      </c>
      <c r="E132" s="26" t="s">
        <v>1502</v>
      </c>
      <c r="F132" s="26" t="s">
        <v>1520</v>
      </c>
      <c r="G132" s="26" t="s">
        <v>1304</v>
      </c>
      <c r="H132" s="26" t="s">
        <v>1305</v>
      </c>
      <c r="I132" s="26" t="s">
        <v>1306</v>
      </c>
      <c r="J132" s="26" t="s">
        <v>1319</v>
      </c>
    </row>
    <row r="133" spans="1:10" ht="16.5" hidden="1" x14ac:dyDescent="0.2">
      <c r="A133" s="26" t="s">
        <v>1528</v>
      </c>
      <c r="B133" s="26" t="s">
        <v>1299</v>
      </c>
      <c r="C133" s="26" t="s">
        <v>1314</v>
      </c>
      <c r="D133" s="26" t="s">
        <v>1393</v>
      </c>
      <c r="E133" s="26" t="s">
        <v>1502</v>
      </c>
      <c r="F133" s="26" t="s">
        <v>1520</v>
      </c>
      <c r="G133" s="26" t="s">
        <v>1304</v>
      </c>
      <c r="H133" s="26" t="s">
        <v>1305</v>
      </c>
      <c r="I133" s="26" t="s">
        <v>1306</v>
      </c>
      <c r="J133" s="26" t="s">
        <v>1319</v>
      </c>
    </row>
    <row r="134" spans="1:10" ht="16.5" hidden="1" x14ac:dyDescent="0.2">
      <c r="A134" s="26" t="s">
        <v>1529</v>
      </c>
      <c r="B134" s="26" t="s">
        <v>1299</v>
      </c>
      <c r="C134" s="26" t="s">
        <v>1314</v>
      </c>
      <c r="D134" s="26" t="s">
        <v>1393</v>
      </c>
      <c r="E134" s="26" t="s">
        <v>1502</v>
      </c>
      <c r="F134" s="26" t="s">
        <v>1520</v>
      </c>
      <c r="G134" s="26" t="s">
        <v>1304</v>
      </c>
      <c r="H134" s="26" t="s">
        <v>1305</v>
      </c>
      <c r="I134" s="26" t="s">
        <v>1306</v>
      </c>
      <c r="J134" s="26" t="s">
        <v>1319</v>
      </c>
    </row>
    <row r="135" spans="1:10" ht="16.5" hidden="1" x14ac:dyDescent="0.2">
      <c r="A135" s="26" t="s">
        <v>1530</v>
      </c>
      <c r="B135" s="26" t="s">
        <v>1299</v>
      </c>
      <c r="C135" s="26" t="s">
        <v>1314</v>
      </c>
      <c r="D135" s="26" t="s">
        <v>1393</v>
      </c>
      <c r="E135" s="26" t="s">
        <v>1502</v>
      </c>
      <c r="F135" s="26" t="s">
        <v>1520</v>
      </c>
      <c r="G135" s="26" t="s">
        <v>1304</v>
      </c>
      <c r="H135" s="26" t="s">
        <v>1305</v>
      </c>
      <c r="I135" s="26" t="s">
        <v>1306</v>
      </c>
      <c r="J135" s="26" t="s">
        <v>1319</v>
      </c>
    </row>
    <row r="136" spans="1:10" ht="16.5" hidden="1" x14ac:dyDescent="0.2">
      <c r="A136" s="26" t="s">
        <v>1531</v>
      </c>
      <c r="B136" s="26" t="s">
        <v>1299</v>
      </c>
      <c r="C136" s="26" t="s">
        <v>1314</v>
      </c>
      <c r="D136" s="26" t="s">
        <v>1346</v>
      </c>
      <c r="E136" s="26" t="s">
        <v>1353</v>
      </c>
      <c r="F136" s="26" t="s">
        <v>1532</v>
      </c>
      <c r="G136" s="26" t="s">
        <v>1304</v>
      </c>
      <c r="H136" s="26" t="s">
        <v>1305</v>
      </c>
      <c r="I136" s="26" t="s">
        <v>1306</v>
      </c>
      <c r="J136" s="26" t="s">
        <v>1319</v>
      </c>
    </row>
    <row r="137" spans="1:10" ht="16.5" hidden="1" x14ac:dyDescent="0.2">
      <c r="A137" s="26" t="s">
        <v>1533</v>
      </c>
      <c r="B137" s="26" t="s">
        <v>1299</v>
      </c>
      <c r="C137" s="26" t="s">
        <v>1314</v>
      </c>
      <c r="D137" s="26" t="s">
        <v>1346</v>
      </c>
      <c r="E137" s="26" t="s">
        <v>1353</v>
      </c>
      <c r="F137" s="26" t="s">
        <v>1534</v>
      </c>
      <c r="G137" s="26" t="s">
        <v>1304</v>
      </c>
      <c r="H137" s="26" t="s">
        <v>1305</v>
      </c>
      <c r="I137" s="26" t="s">
        <v>1306</v>
      </c>
      <c r="J137" s="26" t="s">
        <v>1319</v>
      </c>
    </row>
    <row r="138" spans="1:10" ht="16.5" hidden="1" x14ac:dyDescent="0.2">
      <c r="A138" s="26" t="s">
        <v>1535</v>
      </c>
      <c r="B138" s="26" t="s">
        <v>1299</v>
      </c>
      <c r="C138" s="26" t="s">
        <v>1314</v>
      </c>
      <c r="D138" s="26" t="s">
        <v>1343</v>
      </c>
      <c r="E138" s="26" t="s">
        <v>1344</v>
      </c>
      <c r="F138" s="26" t="s">
        <v>1536</v>
      </c>
      <c r="G138" s="26" t="s">
        <v>1304</v>
      </c>
      <c r="H138" s="26" t="s">
        <v>1298</v>
      </c>
      <c r="I138" s="26" t="s">
        <v>1298</v>
      </c>
      <c r="J138" s="26" t="s">
        <v>1298</v>
      </c>
    </row>
    <row r="139" spans="1:10" ht="16.5" hidden="1" x14ac:dyDescent="0.2">
      <c r="A139" s="26" t="s">
        <v>356</v>
      </c>
      <c r="B139" s="26" t="s">
        <v>1299</v>
      </c>
      <c r="C139" s="26" t="s">
        <v>1314</v>
      </c>
      <c r="D139" s="26" t="s">
        <v>1393</v>
      </c>
      <c r="E139" s="26" t="s">
        <v>1502</v>
      </c>
      <c r="F139" s="26" t="s">
        <v>1537</v>
      </c>
      <c r="G139" s="26" t="s">
        <v>1304</v>
      </c>
      <c r="H139" s="26" t="s">
        <v>1305</v>
      </c>
      <c r="I139" s="26" t="s">
        <v>1306</v>
      </c>
      <c r="J139" s="26" t="s">
        <v>1319</v>
      </c>
    </row>
    <row r="140" spans="1:10" ht="16.5" hidden="1" x14ac:dyDescent="0.2">
      <c r="A140" s="26" t="s">
        <v>1538</v>
      </c>
      <c r="B140" s="26" t="s">
        <v>1299</v>
      </c>
      <c r="C140" s="26" t="s">
        <v>1314</v>
      </c>
      <c r="D140" s="26" t="s">
        <v>1393</v>
      </c>
      <c r="E140" s="26" t="s">
        <v>1502</v>
      </c>
      <c r="F140" s="26" t="s">
        <v>1539</v>
      </c>
      <c r="G140" s="26" t="s">
        <v>1304</v>
      </c>
      <c r="H140" s="26" t="s">
        <v>1305</v>
      </c>
      <c r="I140" s="26" t="s">
        <v>1306</v>
      </c>
      <c r="J140" s="26" t="s">
        <v>1319</v>
      </c>
    </row>
    <row r="141" spans="1:10" ht="16.5" hidden="1" x14ac:dyDescent="0.2">
      <c r="A141" s="26" t="s">
        <v>1540</v>
      </c>
      <c r="B141" s="26" t="s">
        <v>1299</v>
      </c>
      <c r="C141" s="26" t="s">
        <v>1314</v>
      </c>
      <c r="D141" s="26" t="s">
        <v>1393</v>
      </c>
      <c r="E141" s="26" t="s">
        <v>1502</v>
      </c>
      <c r="F141" s="26" t="s">
        <v>1539</v>
      </c>
      <c r="G141" s="26" t="s">
        <v>1304</v>
      </c>
      <c r="H141" s="26" t="s">
        <v>1305</v>
      </c>
      <c r="I141" s="26" t="s">
        <v>1306</v>
      </c>
      <c r="J141" s="26" t="s">
        <v>1319</v>
      </c>
    </row>
    <row r="142" spans="1:10" ht="16.5" hidden="1" x14ac:dyDescent="0.2">
      <c r="A142" s="26" t="s">
        <v>1541</v>
      </c>
      <c r="B142" s="26" t="s">
        <v>1299</v>
      </c>
      <c r="C142" s="26" t="s">
        <v>1314</v>
      </c>
      <c r="D142" s="26" t="s">
        <v>1506</v>
      </c>
      <c r="E142" s="26" t="s">
        <v>1395</v>
      </c>
      <c r="F142" s="26" t="s">
        <v>1539</v>
      </c>
      <c r="G142" s="26" t="s">
        <v>1304</v>
      </c>
      <c r="H142" s="26" t="s">
        <v>1298</v>
      </c>
      <c r="I142" s="26" t="s">
        <v>1298</v>
      </c>
      <c r="J142" s="26" t="s">
        <v>1298</v>
      </c>
    </row>
    <row r="143" spans="1:10" ht="16.5" hidden="1" x14ac:dyDescent="0.2">
      <c r="A143" s="26" t="s">
        <v>1545</v>
      </c>
      <c r="B143" s="26" t="s">
        <v>1542</v>
      </c>
      <c r="C143" s="26" t="s">
        <v>1543</v>
      </c>
      <c r="D143" s="26" t="s">
        <v>1544</v>
      </c>
      <c r="E143" s="26" t="s">
        <v>1496</v>
      </c>
      <c r="F143" s="26" t="s">
        <v>1546</v>
      </c>
      <c r="G143" s="26" t="s">
        <v>1304</v>
      </c>
      <c r="H143" s="26" t="s">
        <v>1298</v>
      </c>
      <c r="I143" s="26" t="s">
        <v>1298</v>
      </c>
      <c r="J143" s="26" t="s">
        <v>1298</v>
      </c>
    </row>
    <row r="144" spans="1:10" ht="16.5" hidden="1" x14ac:dyDescent="0.2">
      <c r="A144" s="26" t="s">
        <v>29</v>
      </c>
      <c r="B144" s="26" t="s">
        <v>1542</v>
      </c>
      <c r="C144" s="26" t="s">
        <v>1543</v>
      </c>
      <c r="D144" s="26" t="s">
        <v>1544</v>
      </c>
      <c r="E144" s="26" t="s">
        <v>1496</v>
      </c>
      <c r="F144" s="26" t="s">
        <v>1546</v>
      </c>
      <c r="G144" s="26" t="s">
        <v>1304</v>
      </c>
      <c r="H144" s="26" t="s">
        <v>1298</v>
      </c>
      <c r="I144" s="26" t="s">
        <v>1298</v>
      </c>
      <c r="J144" s="26" t="s">
        <v>1298</v>
      </c>
    </row>
    <row r="145" spans="1:10" ht="16.5" hidden="1" x14ac:dyDescent="0.2">
      <c r="A145" s="26" t="s">
        <v>30</v>
      </c>
      <c r="B145" s="26" t="s">
        <v>1542</v>
      </c>
      <c r="C145" s="26" t="s">
        <v>1543</v>
      </c>
      <c r="D145" s="26" t="s">
        <v>1544</v>
      </c>
      <c r="E145" s="26" t="s">
        <v>1496</v>
      </c>
      <c r="F145" s="26" t="s">
        <v>1546</v>
      </c>
      <c r="G145" s="26" t="s">
        <v>1304</v>
      </c>
      <c r="H145" s="26" t="s">
        <v>1298</v>
      </c>
      <c r="I145" s="26" t="s">
        <v>1298</v>
      </c>
      <c r="J145" s="26" t="s">
        <v>1298</v>
      </c>
    </row>
    <row r="146" spans="1:10" ht="16.5" hidden="1" x14ac:dyDescent="0.2">
      <c r="A146" s="26" t="s">
        <v>1547</v>
      </c>
      <c r="B146" s="26" t="s">
        <v>1299</v>
      </c>
      <c r="C146" s="26" t="s">
        <v>1314</v>
      </c>
      <c r="D146" s="26" t="s">
        <v>1346</v>
      </c>
      <c r="E146" s="26" t="s">
        <v>1353</v>
      </c>
      <c r="F146" s="26" t="s">
        <v>1548</v>
      </c>
      <c r="G146" s="26" t="s">
        <v>1304</v>
      </c>
      <c r="H146" s="26" t="s">
        <v>1305</v>
      </c>
      <c r="I146" s="26" t="s">
        <v>1306</v>
      </c>
      <c r="J146" s="26" t="s">
        <v>1319</v>
      </c>
    </row>
    <row r="147" spans="1:10" ht="16.5" hidden="1" x14ac:dyDescent="0.2">
      <c r="A147" s="26" t="s">
        <v>1549</v>
      </c>
      <c r="B147" s="26" t="s">
        <v>1299</v>
      </c>
      <c r="C147" s="26" t="s">
        <v>1314</v>
      </c>
      <c r="D147" s="26" t="s">
        <v>1346</v>
      </c>
      <c r="E147" s="26" t="s">
        <v>1353</v>
      </c>
      <c r="F147" s="26" t="s">
        <v>1548</v>
      </c>
      <c r="G147" s="26" t="s">
        <v>1304</v>
      </c>
      <c r="H147" s="26" t="s">
        <v>1305</v>
      </c>
      <c r="I147" s="26" t="s">
        <v>1306</v>
      </c>
      <c r="J147" s="26" t="s">
        <v>1319</v>
      </c>
    </row>
    <row r="148" spans="1:10" ht="16.5" hidden="1" x14ac:dyDescent="0.2">
      <c r="A148" s="26" t="s">
        <v>27</v>
      </c>
      <c r="B148" s="26" t="s">
        <v>1299</v>
      </c>
      <c r="C148" s="26" t="s">
        <v>1314</v>
      </c>
      <c r="D148" s="26" t="s">
        <v>1393</v>
      </c>
      <c r="E148" s="26" t="s">
        <v>1502</v>
      </c>
      <c r="F148" s="26" t="s">
        <v>1550</v>
      </c>
      <c r="G148" s="26" t="s">
        <v>1304</v>
      </c>
      <c r="H148" s="26" t="s">
        <v>1305</v>
      </c>
      <c r="I148" s="26" t="s">
        <v>1306</v>
      </c>
      <c r="J148" s="26" t="s">
        <v>1319</v>
      </c>
    </row>
    <row r="149" spans="1:10" ht="16.5" hidden="1" x14ac:dyDescent="0.2">
      <c r="A149" s="26" t="s">
        <v>1551</v>
      </c>
      <c r="B149" s="26" t="s">
        <v>1299</v>
      </c>
      <c r="C149" s="26" t="s">
        <v>1314</v>
      </c>
      <c r="D149" s="26" t="s">
        <v>1393</v>
      </c>
      <c r="E149" s="26" t="s">
        <v>1502</v>
      </c>
      <c r="F149" s="26" t="s">
        <v>1550</v>
      </c>
      <c r="G149" s="26" t="s">
        <v>1304</v>
      </c>
      <c r="H149" s="26" t="s">
        <v>1305</v>
      </c>
      <c r="I149" s="26" t="s">
        <v>1306</v>
      </c>
      <c r="J149" s="26" t="s">
        <v>1319</v>
      </c>
    </row>
    <row r="150" spans="1:10" ht="16.5" hidden="1" x14ac:dyDescent="0.2">
      <c r="A150" s="26" t="s">
        <v>1552</v>
      </c>
      <c r="B150" s="26" t="s">
        <v>1299</v>
      </c>
      <c r="C150" s="26" t="s">
        <v>1314</v>
      </c>
      <c r="D150" s="26" t="s">
        <v>1393</v>
      </c>
      <c r="E150" s="26" t="s">
        <v>1502</v>
      </c>
      <c r="F150" s="26" t="s">
        <v>1550</v>
      </c>
      <c r="G150" s="26" t="s">
        <v>1304</v>
      </c>
      <c r="H150" s="26" t="s">
        <v>1305</v>
      </c>
      <c r="I150" s="26" t="s">
        <v>1306</v>
      </c>
      <c r="J150" s="26" t="s">
        <v>1319</v>
      </c>
    </row>
    <row r="151" spans="1:10" ht="16.5" hidden="1" x14ac:dyDescent="0.2">
      <c r="A151" s="26" t="s">
        <v>1553</v>
      </c>
      <c r="B151" s="26" t="s">
        <v>1299</v>
      </c>
      <c r="C151" s="26" t="s">
        <v>1314</v>
      </c>
      <c r="D151" s="26" t="s">
        <v>1346</v>
      </c>
      <c r="E151" s="26" t="s">
        <v>1353</v>
      </c>
      <c r="F151" s="26" t="s">
        <v>1554</v>
      </c>
      <c r="G151" s="26" t="s">
        <v>1304</v>
      </c>
      <c r="H151" s="26" t="s">
        <v>1305</v>
      </c>
      <c r="I151" s="26" t="s">
        <v>1306</v>
      </c>
      <c r="J151" s="26" t="s">
        <v>1319</v>
      </c>
    </row>
    <row r="152" spans="1:10" ht="16.5" hidden="1" x14ac:dyDescent="0.2">
      <c r="A152" s="26" t="s">
        <v>1555</v>
      </c>
      <c r="B152" s="26" t="s">
        <v>1299</v>
      </c>
      <c r="C152" s="26" t="s">
        <v>1314</v>
      </c>
      <c r="D152" s="26" t="s">
        <v>1346</v>
      </c>
      <c r="E152" s="26" t="s">
        <v>1353</v>
      </c>
      <c r="F152" s="26" t="s">
        <v>1554</v>
      </c>
      <c r="G152" s="26" t="s">
        <v>1304</v>
      </c>
      <c r="H152" s="26" t="s">
        <v>1305</v>
      </c>
      <c r="I152" s="26" t="s">
        <v>1306</v>
      </c>
      <c r="J152" s="26" t="s">
        <v>1319</v>
      </c>
    </row>
    <row r="153" spans="1:10" ht="16.5" hidden="1" x14ac:dyDescent="0.2">
      <c r="A153" s="26" t="s">
        <v>1556</v>
      </c>
      <c r="B153" s="26" t="s">
        <v>1299</v>
      </c>
      <c r="C153" s="26" t="s">
        <v>1314</v>
      </c>
      <c r="D153" s="26" t="s">
        <v>1393</v>
      </c>
      <c r="E153" s="26" t="s">
        <v>1502</v>
      </c>
      <c r="F153" s="26" t="s">
        <v>1557</v>
      </c>
      <c r="G153" s="26" t="s">
        <v>1304</v>
      </c>
      <c r="H153" s="26" t="s">
        <v>1305</v>
      </c>
      <c r="I153" s="26" t="s">
        <v>1306</v>
      </c>
      <c r="J153" s="26" t="s">
        <v>1319</v>
      </c>
    </row>
    <row r="154" spans="1:10" ht="16.5" hidden="1" x14ac:dyDescent="0.2">
      <c r="A154" s="26" t="s">
        <v>1558</v>
      </c>
      <c r="B154" s="26" t="s">
        <v>1299</v>
      </c>
      <c r="C154" s="26" t="s">
        <v>1314</v>
      </c>
      <c r="D154" s="26" t="s">
        <v>1393</v>
      </c>
      <c r="E154" s="26" t="s">
        <v>1502</v>
      </c>
      <c r="F154" s="26" t="s">
        <v>1557</v>
      </c>
      <c r="G154" s="26" t="s">
        <v>1304</v>
      </c>
      <c r="H154" s="26" t="s">
        <v>1305</v>
      </c>
      <c r="I154" s="26" t="s">
        <v>1306</v>
      </c>
      <c r="J154" s="26" t="s">
        <v>1319</v>
      </c>
    </row>
    <row r="155" spans="1:10" ht="16.5" hidden="1" x14ac:dyDescent="0.2">
      <c r="A155" s="26" t="s">
        <v>1559</v>
      </c>
      <c r="B155" s="26" t="s">
        <v>1299</v>
      </c>
      <c r="C155" s="26" t="s">
        <v>1314</v>
      </c>
      <c r="D155" s="26" t="s">
        <v>1393</v>
      </c>
      <c r="E155" s="26" t="s">
        <v>1502</v>
      </c>
      <c r="F155" s="26" t="s">
        <v>1557</v>
      </c>
      <c r="G155" s="26" t="s">
        <v>1304</v>
      </c>
      <c r="H155" s="26" t="s">
        <v>1305</v>
      </c>
      <c r="I155" s="26" t="s">
        <v>1306</v>
      </c>
      <c r="J155" s="26" t="s">
        <v>1319</v>
      </c>
    </row>
    <row r="156" spans="1:10" ht="16.5" hidden="1" x14ac:dyDescent="0.2">
      <c r="A156" s="26" t="s">
        <v>630</v>
      </c>
      <c r="B156" s="26" t="s">
        <v>1413</v>
      </c>
      <c r="C156" s="26" t="s">
        <v>1470</v>
      </c>
      <c r="D156" s="26" t="s">
        <v>1471</v>
      </c>
      <c r="E156" s="26" t="s">
        <v>1560</v>
      </c>
      <c r="F156" s="26" t="s">
        <v>1561</v>
      </c>
      <c r="G156" s="26" t="s">
        <v>1304</v>
      </c>
      <c r="H156" s="26" t="s">
        <v>1312</v>
      </c>
      <c r="I156" s="26" t="s">
        <v>1313</v>
      </c>
      <c r="J156" s="26" t="s">
        <v>1477</v>
      </c>
    </row>
    <row r="157" spans="1:10" ht="16.5" hidden="1" x14ac:dyDescent="0.2">
      <c r="A157" s="26" t="s">
        <v>148</v>
      </c>
      <c r="B157" s="26" t="s">
        <v>1299</v>
      </c>
      <c r="C157" s="26" t="s">
        <v>1314</v>
      </c>
      <c r="D157" s="26" t="s">
        <v>1506</v>
      </c>
      <c r="E157" s="26" t="s">
        <v>1395</v>
      </c>
      <c r="F157" s="26" t="s">
        <v>1562</v>
      </c>
      <c r="G157" s="26" t="s">
        <v>1304</v>
      </c>
      <c r="H157" s="26" t="s">
        <v>1298</v>
      </c>
      <c r="I157" s="26" t="s">
        <v>1298</v>
      </c>
      <c r="J157" s="26" t="s">
        <v>1298</v>
      </c>
    </row>
    <row r="158" spans="1:10" ht="16.5" hidden="1" x14ac:dyDescent="0.2">
      <c r="A158" s="26" t="s">
        <v>1563</v>
      </c>
      <c r="B158" s="26" t="s">
        <v>1299</v>
      </c>
      <c r="C158" s="26" t="s">
        <v>1314</v>
      </c>
      <c r="D158" s="26" t="s">
        <v>1315</v>
      </c>
      <c r="E158" s="26" t="s">
        <v>1564</v>
      </c>
      <c r="F158" s="26" t="s">
        <v>1565</v>
      </c>
      <c r="G158" s="26" t="s">
        <v>1304</v>
      </c>
      <c r="H158" s="26" t="s">
        <v>1305</v>
      </c>
      <c r="I158" s="26" t="s">
        <v>1306</v>
      </c>
      <c r="J158" s="26" t="s">
        <v>1365</v>
      </c>
    </row>
    <row r="159" spans="1:10" ht="16.5" hidden="1" x14ac:dyDescent="0.2">
      <c r="A159" s="26" t="s">
        <v>1566</v>
      </c>
      <c r="B159" s="26" t="s">
        <v>1299</v>
      </c>
      <c r="C159" s="26" t="s">
        <v>1314</v>
      </c>
      <c r="D159" s="26" t="s">
        <v>1346</v>
      </c>
      <c r="E159" s="26" t="s">
        <v>1353</v>
      </c>
      <c r="F159" s="26" t="s">
        <v>1567</v>
      </c>
      <c r="G159" s="26" t="s">
        <v>1304</v>
      </c>
      <c r="H159" s="26" t="s">
        <v>1305</v>
      </c>
      <c r="I159" s="26" t="s">
        <v>1306</v>
      </c>
      <c r="J159" s="26" t="s">
        <v>1319</v>
      </c>
    </row>
    <row r="160" spans="1:10" ht="16.5" hidden="1" x14ac:dyDescent="0.2">
      <c r="A160" s="26" t="s">
        <v>1568</v>
      </c>
      <c r="B160" s="26" t="s">
        <v>1299</v>
      </c>
      <c r="C160" s="26" t="s">
        <v>1314</v>
      </c>
      <c r="D160" s="26" t="s">
        <v>1346</v>
      </c>
      <c r="E160" s="26" t="s">
        <v>1353</v>
      </c>
      <c r="F160" s="26" t="s">
        <v>1567</v>
      </c>
      <c r="G160" s="26" t="s">
        <v>1304</v>
      </c>
      <c r="H160" s="26" t="s">
        <v>1305</v>
      </c>
      <c r="I160" s="26" t="s">
        <v>1306</v>
      </c>
      <c r="J160" s="26" t="s">
        <v>1319</v>
      </c>
    </row>
    <row r="161" spans="1:10" ht="16.5" hidden="1" x14ac:dyDescent="0.2">
      <c r="A161" s="26" t="s">
        <v>1569</v>
      </c>
      <c r="B161" s="26" t="s">
        <v>1299</v>
      </c>
      <c r="C161" s="26" t="s">
        <v>1314</v>
      </c>
      <c r="D161" s="26" t="s">
        <v>1346</v>
      </c>
      <c r="E161" s="26" t="s">
        <v>1353</v>
      </c>
      <c r="F161" s="26" t="s">
        <v>1567</v>
      </c>
      <c r="G161" s="26" t="s">
        <v>1304</v>
      </c>
      <c r="H161" s="26" t="s">
        <v>1305</v>
      </c>
      <c r="I161" s="26" t="s">
        <v>1306</v>
      </c>
      <c r="J161" s="26" t="s">
        <v>1319</v>
      </c>
    </row>
    <row r="162" spans="1:10" ht="16.5" hidden="1" x14ac:dyDescent="0.2">
      <c r="A162" s="26" t="s">
        <v>1570</v>
      </c>
      <c r="B162" s="26" t="s">
        <v>1299</v>
      </c>
      <c r="C162" s="26" t="s">
        <v>1314</v>
      </c>
      <c r="D162" s="26" t="s">
        <v>1346</v>
      </c>
      <c r="E162" s="26" t="s">
        <v>1353</v>
      </c>
      <c r="F162" s="26" t="s">
        <v>1567</v>
      </c>
      <c r="G162" s="26" t="s">
        <v>1304</v>
      </c>
      <c r="H162" s="26" t="s">
        <v>1305</v>
      </c>
      <c r="I162" s="26" t="s">
        <v>1306</v>
      </c>
      <c r="J162" s="26" t="s">
        <v>1319</v>
      </c>
    </row>
    <row r="163" spans="1:10" ht="16.5" hidden="1" x14ac:dyDescent="0.2">
      <c r="A163" s="26" t="s">
        <v>1571</v>
      </c>
      <c r="B163" s="26" t="s">
        <v>1299</v>
      </c>
      <c r="C163" s="26" t="s">
        <v>1314</v>
      </c>
      <c r="D163" s="26" t="s">
        <v>1346</v>
      </c>
      <c r="E163" s="26" t="s">
        <v>1353</v>
      </c>
      <c r="F163" s="26" t="s">
        <v>1572</v>
      </c>
      <c r="G163" s="26" t="s">
        <v>1304</v>
      </c>
      <c r="H163" s="26" t="s">
        <v>1305</v>
      </c>
      <c r="I163" s="26" t="s">
        <v>1306</v>
      </c>
      <c r="J163" s="26" t="s">
        <v>1319</v>
      </c>
    </row>
    <row r="164" spans="1:10" ht="16.5" hidden="1" x14ac:dyDescent="0.2">
      <c r="A164" s="26" t="s">
        <v>1573</v>
      </c>
      <c r="B164" s="26" t="s">
        <v>1299</v>
      </c>
      <c r="C164" s="26" t="s">
        <v>1314</v>
      </c>
      <c r="D164" s="26" t="s">
        <v>1346</v>
      </c>
      <c r="E164" s="26" t="s">
        <v>1353</v>
      </c>
      <c r="F164" s="26" t="s">
        <v>1572</v>
      </c>
      <c r="G164" s="26" t="s">
        <v>1304</v>
      </c>
      <c r="H164" s="26" t="s">
        <v>1305</v>
      </c>
      <c r="I164" s="26" t="s">
        <v>1306</v>
      </c>
      <c r="J164" s="26" t="s">
        <v>1319</v>
      </c>
    </row>
    <row r="165" spans="1:10" ht="16.5" hidden="1" x14ac:dyDescent="0.2">
      <c r="A165" s="26" t="s">
        <v>1574</v>
      </c>
      <c r="B165" s="26" t="s">
        <v>1299</v>
      </c>
      <c r="C165" s="26" t="s">
        <v>1314</v>
      </c>
      <c r="D165" s="26" t="s">
        <v>1346</v>
      </c>
      <c r="E165" s="26" t="s">
        <v>1353</v>
      </c>
      <c r="F165" s="26" t="s">
        <v>1575</v>
      </c>
      <c r="G165" s="26" t="s">
        <v>1304</v>
      </c>
      <c r="H165" s="26" t="s">
        <v>1305</v>
      </c>
      <c r="I165" s="26" t="s">
        <v>1306</v>
      </c>
      <c r="J165" s="26" t="s">
        <v>1319</v>
      </c>
    </row>
    <row r="166" spans="1:10" ht="16.5" hidden="1" x14ac:dyDescent="0.2">
      <c r="A166" s="26" t="s">
        <v>1576</v>
      </c>
      <c r="B166" s="26" t="s">
        <v>1299</v>
      </c>
      <c r="C166" s="26" t="s">
        <v>1314</v>
      </c>
      <c r="D166" s="26" t="s">
        <v>1346</v>
      </c>
      <c r="E166" s="26" t="s">
        <v>1353</v>
      </c>
      <c r="F166" s="26" t="s">
        <v>1575</v>
      </c>
      <c r="G166" s="26" t="s">
        <v>1304</v>
      </c>
      <c r="H166" s="26" t="s">
        <v>1305</v>
      </c>
      <c r="I166" s="26" t="s">
        <v>1306</v>
      </c>
      <c r="J166" s="26" t="s">
        <v>1319</v>
      </c>
    </row>
    <row r="167" spans="1:10" ht="16.5" hidden="1" x14ac:dyDescent="0.2">
      <c r="A167" s="26" t="s">
        <v>1577</v>
      </c>
      <c r="B167" s="26" t="s">
        <v>1299</v>
      </c>
      <c r="C167" s="26" t="s">
        <v>1314</v>
      </c>
      <c r="D167" s="26" t="s">
        <v>1346</v>
      </c>
      <c r="E167" s="26" t="s">
        <v>1353</v>
      </c>
      <c r="F167" s="26" t="s">
        <v>1575</v>
      </c>
      <c r="G167" s="26" t="s">
        <v>1304</v>
      </c>
      <c r="H167" s="26" t="s">
        <v>1305</v>
      </c>
      <c r="I167" s="26" t="s">
        <v>1306</v>
      </c>
      <c r="J167" s="26" t="s">
        <v>1319</v>
      </c>
    </row>
    <row r="168" spans="1:10" ht="16.5" hidden="1" x14ac:dyDescent="0.2">
      <c r="A168" s="26" t="s">
        <v>1578</v>
      </c>
      <c r="B168" s="26" t="s">
        <v>1299</v>
      </c>
      <c r="C168" s="26" t="s">
        <v>1314</v>
      </c>
      <c r="D168" s="26" t="s">
        <v>1346</v>
      </c>
      <c r="E168" s="26" t="s">
        <v>1353</v>
      </c>
      <c r="F168" s="26" t="s">
        <v>1575</v>
      </c>
      <c r="G168" s="26" t="s">
        <v>1304</v>
      </c>
      <c r="H168" s="26" t="s">
        <v>1305</v>
      </c>
      <c r="I168" s="26" t="s">
        <v>1306</v>
      </c>
      <c r="J168" s="26" t="s">
        <v>1319</v>
      </c>
    </row>
    <row r="169" spans="1:10" ht="16.5" hidden="1" x14ac:dyDescent="0.2">
      <c r="A169" s="26" t="s">
        <v>1579</v>
      </c>
      <c r="B169" s="26" t="s">
        <v>1299</v>
      </c>
      <c r="C169" s="26" t="s">
        <v>1314</v>
      </c>
      <c r="D169" s="26" t="s">
        <v>1346</v>
      </c>
      <c r="E169" s="26" t="s">
        <v>1353</v>
      </c>
      <c r="F169" s="26" t="s">
        <v>1580</v>
      </c>
      <c r="G169" s="26" t="s">
        <v>1304</v>
      </c>
      <c r="H169" s="26" t="s">
        <v>1305</v>
      </c>
      <c r="I169" s="26" t="s">
        <v>1306</v>
      </c>
      <c r="J169" s="26" t="s">
        <v>1319</v>
      </c>
    </row>
    <row r="170" spans="1:10" ht="16.5" hidden="1" x14ac:dyDescent="0.2">
      <c r="A170" s="26" t="s">
        <v>1581</v>
      </c>
      <c r="B170" s="26" t="s">
        <v>1299</v>
      </c>
      <c r="C170" s="26" t="s">
        <v>1314</v>
      </c>
      <c r="D170" s="26" t="s">
        <v>1346</v>
      </c>
      <c r="E170" s="26" t="s">
        <v>1353</v>
      </c>
      <c r="F170" s="26" t="s">
        <v>1580</v>
      </c>
      <c r="G170" s="26" t="s">
        <v>1304</v>
      </c>
      <c r="H170" s="26" t="s">
        <v>1305</v>
      </c>
      <c r="I170" s="26" t="s">
        <v>1306</v>
      </c>
      <c r="J170" s="26" t="s">
        <v>1319</v>
      </c>
    </row>
    <row r="171" spans="1:10" ht="16.5" hidden="1" x14ac:dyDescent="0.2">
      <c r="A171" s="26" t="s">
        <v>1582</v>
      </c>
      <c r="B171" s="26" t="s">
        <v>1299</v>
      </c>
      <c r="C171" s="26" t="s">
        <v>1314</v>
      </c>
      <c r="D171" s="26" t="s">
        <v>1346</v>
      </c>
      <c r="E171" s="26" t="s">
        <v>1353</v>
      </c>
      <c r="F171" s="26" t="s">
        <v>1580</v>
      </c>
      <c r="G171" s="26" t="s">
        <v>1304</v>
      </c>
      <c r="H171" s="26" t="s">
        <v>1305</v>
      </c>
      <c r="I171" s="26" t="s">
        <v>1306</v>
      </c>
      <c r="J171" s="26" t="s">
        <v>1319</v>
      </c>
    </row>
    <row r="172" spans="1:10" ht="16.5" hidden="1" x14ac:dyDescent="0.2">
      <c r="A172" s="26" t="s">
        <v>1584</v>
      </c>
      <c r="B172" s="26" t="s">
        <v>1299</v>
      </c>
      <c r="C172" s="26" t="s">
        <v>1314</v>
      </c>
      <c r="D172" s="26" t="s">
        <v>1583</v>
      </c>
      <c r="E172" s="26" t="s">
        <v>1344</v>
      </c>
      <c r="F172" s="26" t="s">
        <v>1585</v>
      </c>
      <c r="G172" s="26" t="s">
        <v>1304</v>
      </c>
      <c r="H172" s="26" t="s">
        <v>1305</v>
      </c>
      <c r="I172" s="26" t="s">
        <v>1306</v>
      </c>
      <c r="J172" s="26" t="s">
        <v>1586</v>
      </c>
    </row>
    <row r="173" spans="1:10" ht="16.5" hidden="1" x14ac:dyDescent="0.2">
      <c r="A173" s="26" t="s">
        <v>358</v>
      </c>
      <c r="B173" s="26" t="s">
        <v>1299</v>
      </c>
      <c r="C173" s="26" t="s">
        <v>1314</v>
      </c>
      <c r="D173" s="26" t="s">
        <v>1393</v>
      </c>
      <c r="E173" s="26" t="s">
        <v>1502</v>
      </c>
      <c r="F173" s="26" t="s">
        <v>1585</v>
      </c>
      <c r="G173" s="26" t="s">
        <v>1304</v>
      </c>
      <c r="H173" s="26" t="s">
        <v>1305</v>
      </c>
      <c r="I173" s="26" t="s">
        <v>1306</v>
      </c>
      <c r="J173" s="26" t="s">
        <v>1319</v>
      </c>
    </row>
    <row r="174" spans="1:10" ht="16.5" hidden="1" x14ac:dyDescent="0.2">
      <c r="A174" s="26" t="s">
        <v>1587</v>
      </c>
      <c r="B174" s="26" t="s">
        <v>1299</v>
      </c>
      <c r="C174" s="26" t="s">
        <v>1314</v>
      </c>
      <c r="D174" s="26" t="s">
        <v>1393</v>
      </c>
      <c r="E174" s="26" t="s">
        <v>1502</v>
      </c>
      <c r="F174" s="26" t="s">
        <v>1585</v>
      </c>
      <c r="G174" s="26" t="s">
        <v>1304</v>
      </c>
      <c r="H174" s="26" t="s">
        <v>1305</v>
      </c>
      <c r="I174" s="26" t="s">
        <v>1306</v>
      </c>
      <c r="J174" s="26" t="s">
        <v>1319</v>
      </c>
    </row>
    <row r="175" spans="1:10" ht="16.5" hidden="1" x14ac:dyDescent="0.2">
      <c r="A175" s="26" t="s">
        <v>1588</v>
      </c>
      <c r="B175" s="26" t="s">
        <v>1299</v>
      </c>
      <c r="C175" s="26" t="s">
        <v>1314</v>
      </c>
      <c r="D175" s="26" t="s">
        <v>1393</v>
      </c>
      <c r="E175" s="26" t="s">
        <v>1502</v>
      </c>
      <c r="F175" s="26" t="s">
        <v>1585</v>
      </c>
      <c r="G175" s="26" t="s">
        <v>1304</v>
      </c>
      <c r="H175" s="26" t="s">
        <v>1305</v>
      </c>
      <c r="I175" s="26" t="s">
        <v>1306</v>
      </c>
      <c r="J175" s="26" t="s">
        <v>1319</v>
      </c>
    </row>
    <row r="176" spans="1:10" ht="16.5" hidden="1" x14ac:dyDescent="0.2">
      <c r="A176" s="26" t="s">
        <v>1589</v>
      </c>
      <c r="B176" s="26" t="s">
        <v>1299</v>
      </c>
      <c r="C176" s="26" t="s">
        <v>1314</v>
      </c>
      <c r="D176" s="26" t="s">
        <v>1393</v>
      </c>
      <c r="E176" s="26" t="s">
        <v>1502</v>
      </c>
      <c r="F176" s="26" t="s">
        <v>1585</v>
      </c>
      <c r="G176" s="26" t="s">
        <v>1304</v>
      </c>
      <c r="H176" s="26" t="s">
        <v>1305</v>
      </c>
      <c r="I176" s="26" t="s">
        <v>1306</v>
      </c>
      <c r="J176" s="26" t="s">
        <v>1319</v>
      </c>
    </row>
    <row r="177" spans="1:10" ht="16.5" hidden="1" x14ac:dyDescent="0.2">
      <c r="A177" s="26" t="s">
        <v>1590</v>
      </c>
      <c r="B177" s="26" t="s">
        <v>1299</v>
      </c>
      <c r="C177" s="26" t="s">
        <v>1314</v>
      </c>
      <c r="D177" s="26" t="s">
        <v>1393</v>
      </c>
      <c r="E177" s="26" t="s">
        <v>1502</v>
      </c>
      <c r="F177" s="26" t="s">
        <v>1585</v>
      </c>
      <c r="G177" s="26" t="s">
        <v>1304</v>
      </c>
      <c r="H177" s="26" t="s">
        <v>1305</v>
      </c>
      <c r="I177" s="26" t="s">
        <v>1306</v>
      </c>
      <c r="J177" s="26" t="s">
        <v>1319</v>
      </c>
    </row>
    <row r="178" spans="1:10" ht="16.5" hidden="1" x14ac:dyDescent="0.2">
      <c r="A178" s="26" t="s">
        <v>1591</v>
      </c>
      <c r="B178" s="26" t="s">
        <v>1299</v>
      </c>
      <c r="C178" s="26" t="s">
        <v>1314</v>
      </c>
      <c r="D178" s="26" t="s">
        <v>1393</v>
      </c>
      <c r="E178" s="26" t="s">
        <v>1502</v>
      </c>
      <c r="F178" s="26" t="s">
        <v>1585</v>
      </c>
      <c r="G178" s="26" t="s">
        <v>1304</v>
      </c>
      <c r="H178" s="26" t="s">
        <v>1305</v>
      </c>
      <c r="I178" s="26" t="s">
        <v>1306</v>
      </c>
      <c r="J178" s="26" t="s">
        <v>1319</v>
      </c>
    </row>
    <row r="179" spans="1:10" ht="16.5" hidden="1" x14ac:dyDescent="0.2">
      <c r="A179" s="26" t="s">
        <v>1593</v>
      </c>
      <c r="B179" s="26" t="s">
        <v>1299</v>
      </c>
      <c r="C179" s="26" t="s">
        <v>1314</v>
      </c>
      <c r="D179" s="26" t="s">
        <v>1592</v>
      </c>
      <c r="E179" s="26" t="s">
        <v>1594</v>
      </c>
      <c r="F179" s="26" t="s">
        <v>1585</v>
      </c>
      <c r="G179" s="26" t="s">
        <v>1304</v>
      </c>
      <c r="H179" s="26" t="s">
        <v>1305</v>
      </c>
      <c r="I179" s="26" t="s">
        <v>1306</v>
      </c>
      <c r="J179" s="26" t="s">
        <v>1595</v>
      </c>
    </row>
    <row r="180" spans="1:10" ht="16.5" hidden="1" x14ac:dyDescent="0.2">
      <c r="A180" s="26" t="s">
        <v>1596</v>
      </c>
      <c r="B180" s="26" t="s">
        <v>1299</v>
      </c>
      <c r="C180" s="26" t="s">
        <v>1314</v>
      </c>
      <c r="D180" s="26" t="s">
        <v>1592</v>
      </c>
      <c r="E180" s="26" t="s">
        <v>1597</v>
      </c>
      <c r="F180" s="26" t="s">
        <v>1598</v>
      </c>
      <c r="G180" s="26" t="s">
        <v>1304</v>
      </c>
      <c r="H180" s="26" t="s">
        <v>1305</v>
      </c>
      <c r="I180" s="26" t="s">
        <v>1306</v>
      </c>
      <c r="J180" s="26" t="s">
        <v>1319</v>
      </c>
    </row>
    <row r="181" spans="1:10" ht="16.5" hidden="1" x14ac:dyDescent="0.2">
      <c r="A181" s="26" t="s">
        <v>1599</v>
      </c>
      <c r="B181" s="26" t="s">
        <v>1299</v>
      </c>
      <c r="C181" s="26" t="s">
        <v>1314</v>
      </c>
      <c r="D181" s="26" t="s">
        <v>1592</v>
      </c>
      <c r="E181" s="26" t="s">
        <v>1597</v>
      </c>
      <c r="F181" s="26" t="s">
        <v>1598</v>
      </c>
      <c r="G181" s="26" t="s">
        <v>1304</v>
      </c>
      <c r="H181" s="26" t="s">
        <v>1305</v>
      </c>
      <c r="I181" s="26" t="s">
        <v>1306</v>
      </c>
      <c r="J181" s="26" t="s">
        <v>1319</v>
      </c>
    </row>
    <row r="182" spans="1:10" ht="16.5" hidden="1" x14ac:dyDescent="0.2">
      <c r="A182" s="26" t="s">
        <v>1600</v>
      </c>
      <c r="B182" s="26" t="s">
        <v>1299</v>
      </c>
      <c r="C182" s="26" t="s">
        <v>1314</v>
      </c>
      <c r="D182" s="26" t="s">
        <v>1346</v>
      </c>
      <c r="E182" s="26" t="s">
        <v>1353</v>
      </c>
      <c r="F182" s="26" t="s">
        <v>1601</v>
      </c>
      <c r="G182" s="26" t="s">
        <v>1304</v>
      </c>
      <c r="H182" s="26" t="s">
        <v>1305</v>
      </c>
      <c r="I182" s="26" t="s">
        <v>1306</v>
      </c>
      <c r="J182" s="26" t="s">
        <v>1319</v>
      </c>
    </row>
    <row r="183" spans="1:10" ht="16.5" hidden="1" x14ac:dyDescent="0.2">
      <c r="A183" s="26" t="s">
        <v>1602</v>
      </c>
      <c r="B183" s="26" t="s">
        <v>1299</v>
      </c>
      <c r="C183" s="26" t="s">
        <v>1314</v>
      </c>
      <c r="D183" s="26" t="s">
        <v>1346</v>
      </c>
      <c r="E183" s="26" t="s">
        <v>1353</v>
      </c>
      <c r="F183" s="26" t="s">
        <v>1601</v>
      </c>
      <c r="G183" s="26" t="s">
        <v>1304</v>
      </c>
      <c r="H183" s="26" t="s">
        <v>1305</v>
      </c>
      <c r="I183" s="26" t="s">
        <v>1306</v>
      </c>
      <c r="J183" s="26" t="s">
        <v>1319</v>
      </c>
    </row>
    <row r="184" spans="1:10" ht="16.5" hidden="1" x14ac:dyDescent="0.2">
      <c r="A184" s="26" t="s">
        <v>1603</v>
      </c>
      <c r="B184" s="26" t="s">
        <v>1299</v>
      </c>
      <c r="C184" s="26" t="s">
        <v>1314</v>
      </c>
      <c r="D184" s="26" t="s">
        <v>1592</v>
      </c>
      <c r="E184" s="26" t="s">
        <v>1594</v>
      </c>
      <c r="F184" s="26" t="s">
        <v>1604</v>
      </c>
      <c r="G184" s="26" t="s">
        <v>1304</v>
      </c>
      <c r="H184" s="26" t="s">
        <v>1305</v>
      </c>
      <c r="I184" s="26" t="s">
        <v>1306</v>
      </c>
      <c r="J184" s="26" t="s">
        <v>1595</v>
      </c>
    </row>
    <row r="185" spans="1:10" ht="16.5" hidden="1" x14ac:dyDescent="0.2">
      <c r="A185" s="26" t="s">
        <v>1605</v>
      </c>
      <c r="B185" s="26" t="s">
        <v>1299</v>
      </c>
      <c r="C185" s="26" t="s">
        <v>1314</v>
      </c>
      <c r="D185" s="26" t="s">
        <v>1393</v>
      </c>
      <c r="E185" s="26" t="s">
        <v>1502</v>
      </c>
      <c r="F185" s="26" t="s">
        <v>1606</v>
      </c>
      <c r="G185" s="26" t="s">
        <v>1304</v>
      </c>
      <c r="H185" s="26" t="s">
        <v>1305</v>
      </c>
      <c r="I185" s="26" t="s">
        <v>1306</v>
      </c>
      <c r="J185" s="26" t="s">
        <v>1319</v>
      </c>
    </row>
    <row r="186" spans="1:10" ht="16.5" hidden="1" x14ac:dyDescent="0.2">
      <c r="A186" s="26" t="s">
        <v>1607</v>
      </c>
      <c r="B186" s="26" t="s">
        <v>1299</v>
      </c>
      <c r="C186" s="26" t="s">
        <v>1314</v>
      </c>
      <c r="D186" s="26" t="s">
        <v>1393</v>
      </c>
      <c r="E186" s="26" t="s">
        <v>1502</v>
      </c>
      <c r="F186" s="26" t="s">
        <v>1606</v>
      </c>
      <c r="G186" s="26" t="s">
        <v>1304</v>
      </c>
      <c r="H186" s="26" t="s">
        <v>1305</v>
      </c>
      <c r="I186" s="26" t="s">
        <v>1306</v>
      </c>
      <c r="J186" s="26" t="s">
        <v>1319</v>
      </c>
    </row>
    <row r="187" spans="1:10" ht="16.5" hidden="1" x14ac:dyDescent="0.2">
      <c r="A187" s="26" t="s">
        <v>198</v>
      </c>
      <c r="B187" s="26" t="s">
        <v>1299</v>
      </c>
      <c r="C187" s="26" t="s">
        <v>1314</v>
      </c>
      <c r="D187" s="26" t="s">
        <v>1608</v>
      </c>
      <c r="E187" s="26" t="s">
        <v>1609</v>
      </c>
      <c r="F187" s="26" t="s">
        <v>1606</v>
      </c>
      <c r="G187" s="26" t="s">
        <v>1304</v>
      </c>
      <c r="H187" s="26" t="s">
        <v>1305</v>
      </c>
      <c r="I187" s="26" t="s">
        <v>1306</v>
      </c>
      <c r="J187" s="26" t="s">
        <v>1610</v>
      </c>
    </row>
    <row r="188" spans="1:10" ht="16.5" hidden="1" x14ac:dyDescent="0.2">
      <c r="A188" s="26" t="s">
        <v>1611</v>
      </c>
      <c r="B188" s="26" t="s">
        <v>1299</v>
      </c>
      <c r="C188" s="26" t="s">
        <v>1314</v>
      </c>
      <c r="D188" s="26" t="s">
        <v>1506</v>
      </c>
      <c r="E188" s="26" t="s">
        <v>1395</v>
      </c>
      <c r="F188" s="26" t="s">
        <v>1606</v>
      </c>
      <c r="G188" s="26" t="s">
        <v>1304</v>
      </c>
      <c r="H188" s="26" t="s">
        <v>1298</v>
      </c>
      <c r="I188" s="26" t="s">
        <v>1298</v>
      </c>
      <c r="J188" s="26" t="s">
        <v>1298</v>
      </c>
    </row>
    <row r="189" spans="1:10" ht="16.5" hidden="1" x14ac:dyDescent="0.2">
      <c r="A189" s="26" t="s">
        <v>1612</v>
      </c>
      <c r="B189" s="26" t="s">
        <v>1299</v>
      </c>
      <c r="C189" s="26" t="s">
        <v>1314</v>
      </c>
      <c r="D189" s="26" t="s">
        <v>1506</v>
      </c>
      <c r="E189" s="26" t="s">
        <v>1395</v>
      </c>
      <c r="F189" s="26" t="s">
        <v>1606</v>
      </c>
      <c r="G189" s="26" t="s">
        <v>1304</v>
      </c>
      <c r="H189" s="26" t="s">
        <v>1298</v>
      </c>
      <c r="I189" s="26" t="s">
        <v>1298</v>
      </c>
      <c r="J189" s="26" t="s">
        <v>1298</v>
      </c>
    </row>
    <row r="190" spans="1:10" ht="16.5" hidden="1" x14ac:dyDescent="0.2">
      <c r="A190" s="26" t="s">
        <v>1613</v>
      </c>
      <c r="B190" s="26" t="s">
        <v>1299</v>
      </c>
      <c r="C190" s="26" t="s">
        <v>1314</v>
      </c>
      <c r="D190" s="26" t="s">
        <v>1506</v>
      </c>
      <c r="E190" s="26" t="s">
        <v>1395</v>
      </c>
      <c r="F190" s="26" t="s">
        <v>1606</v>
      </c>
      <c r="G190" s="26" t="s">
        <v>1304</v>
      </c>
      <c r="H190" s="26" t="s">
        <v>1298</v>
      </c>
      <c r="I190" s="26" t="s">
        <v>1298</v>
      </c>
      <c r="J190" s="26" t="s">
        <v>1298</v>
      </c>
    </row>
    <row r="191" spans="1:10" ht="16.5" hidden="1" x14ac:dyDescent="0.2">
      <c r="A191" s="26" t="s">
        <v>1614</v>
      </c>
      <c r="B191" s="26" t="s">
        <v>1299</v>
      </c>
      <c r="C191" s="26" t="s">
        <v>1314</v>
      </c>
      <c r="D191" s="26" t="s">
        <v>1506</v>
      </c>
      <c r="E191" s="26" t="s">
        <v>1395</v>
      </c>
      <c r="F191" s="26" t="s">
        <v>1606</v>
      </c>
      <c r="G191" s="26" t="s">
        <v>1304</v>
      </c>
      <c r="H191" s="26" t="s">
        <v>1298</v>
      </c>
      <c r="I191" s="26" t="s">
        <v>1298</v>
      </c>
      <c r="J191" s="26" t="s">
        <v>1298</v>
      </c>
    </row>
    <row r="192" spans="1:10" ht="16.5" hidden="1" x14ac:dyDescent="0.2">
      <c r="A192" s="26" t="s">
        <v>1615</v>
      </c>
      <c r="B192" s="26" t="s">
        <v>1299</v>
      </c>
      <c r="C192" s="26" t="s">
        <v>1314</v>
      </c>
      <c r="D192" s="26" t="s">
        <v>1506</v>
      </c>
      <c r="E192" s="26" t="s">
        <v>1395</v>
      </c>
      <c r="F192" s="26" t="s">
        <v>1606</v>
      </c>
      <c r="G192" s="26" t="s">
        <v>1304</v>
      </c>
      <c r="H192" s="26" t="s">
        <v>1298</v>
      </c>
      <c r="I192" s="26" t="s">
        <v>1298</v>
      </c>
      <c r="J192" s="26" t="s">
        <v>1298</v>
      </c>
    </row>
    <row r="193" spans="1:10" ht="16.5" hidden="1" x14ac:dyDescent="0.2">
      <c r="A193" s="26" t="s">
        <v>1616</v>
      </c>
      <c r="B193" s="26" t="s">
        <v>1299</v>
      </c>
      <c r="C193" s="26" t="s">
        <v>1314</v>
      </c>
      <c r="D193" s="26" t="s">
        <v>1592</v>
      </c>
      <c r="E193" s="26" t="s">
        <v>1597</v>
      </c>
      <c r="F193" s="26" t="s">
        <v>1617</v>
      </c>
      <c r="G193" s="26" t="s">
        <v>1304</v>
      </c>
      <c r="H193" s="26" t="s">
        <v>1305</v>
      </c>
      <c r="I193" s="26" t="s">
        <v>1306</v>
      </c>
      <c r="J193" s="26" t="s">
        <v>1319</v>
      </c>
    </row>
    <row r="194" spans="1:10" ht="16.5" hidden="1" x14ac:dyDescent="0.2">
      <c r="A194" s="26" t="s">
        <v>1618</v>
      </c>
      <c r="B194" s="26" t="s">
        <v>1299</v>
      </c>
      <c r="C194" s="26" t="s">
        <v>1314</v>
      </c>
      <c r="D194" s="26" t="s">
        <v>1592</v>
      </c>
      <c r="E194" s="26" t="s">
        <v>1597</v>
      </c>
      <c r="F194" s="26" t="s">
        <v>1617</v>
      </c>
      <c r="G194" s="26" t="s">
        <v>1304</v>
      </c>
      <c r="H194" s="26" t="s">
        <v>1305</v>
      </c>
      <c r="I194" s="26" t="s">
        <v>1306</v>
      </c>
      <c r="J194" s="26" t="s">
        <v>1319</v>
      </c>
    </row>
    <row r="195" spans="1:10" ht="16.5" hidden="1" x14ac:dyDescent="0.2">
      <c r="A195" s="26" t="s">
        <v>347</v>
      </c>
      <c r="B195" s="26" t="s">
        <v>1299</v>
      </c>
      <c r="C195" s="26" t="s">
        <v>1314</v>
      </c>
      <c r="D195" s="26" t="s">
        <v>1346</v>
      </c>
      <c r="E195" s="26" t="s">
        <v>1353</v>
      </c>
      <c r="F195" s="26" t="s">
        <v>1598</v>
      </c>
      <c r="G195" s="26" t="s">
        <v>1304</v>
      </c>
      <c r="H195" s="26" t="s">
        <v>1305</v>
      </c>
      <c r="I195" s="26" t="s">
        <v>1306</v>
      </c>
      <c r="J195" s="26" t="s">
        <v>1319</v>
      </c>
    </row>
    <row r="196" spans="1:10" ht="16.5" hidden="1" x14ac:dyDescent="0.2">
      <c r="A196" s="26" t="s">
        <v>1619</v>
      </c>
      <c r="B196" s="26" t="s">
        <v>1299</v>
      </c>
      <c r="C196" s="26" t="s">
        <v>1314</v>
      </c>
      <c r="D196" s="26" t="s">
        <v>1346</v>
      </c>
      <c r="E196" s="26" t="s">
        <v>1353</v>
      </c>
      <c r="F196" s="26" t="s">
        <v>1598</v>
      </c>
      <c r="G196" s="26" t="s">
        <v>1304</v>
      </c>
      <c r="H196" s="26" t="s">
        <v>1305</v>
      </c>
      <c r="I196" s="26" t="s">
        <v>1306</v>
      </c>
      <c r="J196" s="26" t="s">
        <v>1319</v>
      </c>
    </row>
    <row r="197" spans="1:10" ht="16.5" hidden="1" x14ac:dyDescent="0.2">
      <c r="A197" s="26" t="s">
        <v>1620</v>
      </c>
      <c r="B197" s="26" t="s">
        <v>1299</v>
      </c>
      <c r="C197" s="26" t="s">
        <v>1314</v>
      </c>
      <c r="D197" s="26" t="s">
        <v>1346</v>
      </c>
      <c r="E197" s="26" t="s">
        <v>1353</v>
      </c>
      <c r="F197" s="26" t="s">
        <v>1598</v>
      </c>
      <c r="G197" s="26" t="s">
        <v>1304</v>
      </c>
      <c r="H197" s="26" t="s">
        <v>1305</v>
      </c>
      <c r="I197" s="26" t="s">
        <v>1306</v>
      </c>
      <c r="J197" s="26" t="s">
        <v>1319</v>
      </c>
    </row>
    <row r="198" spans="1:10" ht="16.5" hidden="1" x14ac:dyDescent="0.2">
      <c r="A198" s="26" t="s">
        <v>1621</v>
      </c>
      <c r="B198" s="26" t="s">
        <v>1299</v>
      </c>
      <c r="C198" s="26" t="s">
        <v>1314</v>
      </c>
      <c r="D198" s="26" t="s">
        <v>1346</v>
      </c>
      <c r="E198" s="26" t="s">
        <v>1353</v>
      </c>
      <c r="F198" s="26" t="s">
        <v>1598</v>
      </c>
      <c r="G198" s="26" t="s">
        <v>1304</v>
      </c>
      <c r="H198" s="26" t="s">
        <v>1305</v>
      </c>
      <c r="I198" s="26" t="s">
        <v>1306</v>
      </c>
      <c r="J198" s="26" t="s">
        <v>1319</v>
      </c>
    </row>
    <row r="199" spans="1:10" ht="16.5" hidden="1" x14ac:dyDescent="0.2">
      <c r="A199" s="26" t="s">
        <v>1622</v>
      </c>
      <c r="B199" s="26" t="s">
        <v>1299</v>
      </c>
      <c r="C199" s="26" t="s">
        <v>1314</v>
      </c>
      <c r="D199" s="26" t="s">
        <v>1346</v>
      </c>
      <c r="E199" s="26" t="s">
        <v>1353</v>
      </c>
      <c r="F199" s="26" t="s">
        <v>1623</v>
      </c>
      <c r="G199" s="26" t="s">
        <v>1304</v>
      </c>
      <c r="H199" s="26" t="s">
        <v>1305</v>
      </c>
      <c r="I199" s="26" t="s">
        <v>1306</v>
      </c>
      <c r="J199" s="26" t="s">
        <v>1319</v>
      </c>
    </row>
    <row r="200" spans="1:10" ht="16.5" hidden="1" x14ac:dyDescent="0.2">
      <c r="A200" s="26" t="s">
        <v>1624</v>
      </c>
      <c r="B200" s="26" t="s">
        <v>1299</v>
      </c>
      <c r="C200" s="26" t="s">
        <v>1314</v>
      </c>
      <c r="D200" s="26" t="s">
        <v>1346</v>
      </c>
      <c r="E200" s="26" t="s">
        <v>1353</v>
      </c>
      <c r="F200" s="26" t="s">
        <v>1623</v>
      </c>
      <c r="G200" s="26" t="s">
        <v>1304</v>
      </c>
      <c r="H200" s="26" t="s">
        <v>1305</v>
      </c>
      <c r="I200" s="26" t="s">
        <v>1306</v>
      </c>
      <c r="J200" s="26" t="s">
        <v>1319</v>
      </c>
    </row>
    <row r="201" spans="1:10" ht="16.5" hidden="1" x14ac:dyDescent="0.2">
      <c r="A201" s="26" t="s">
        <v>1625</v>
      </c>
      <c r="B201" s="26" t="s">
        <v>1299</v>
      </c>
      <c r="C201" s="26" t="s">
        <v>1314</v>
      </c>
      <c r="D201" s="26" t="s">
        <v>1346</v>
      </c>
      <c r="E201" s="26" t="s">
        <v>1353</v>
      </c>
      <c r="F201" s="26" t="s">
        <v>1623</v>
      </c>
      <c r="G201" s="26" t="s">
        <v>1304</v>
      </c>
      <c r="H201" s="26" t="s">
        <v>1305</v>
      </c>
      <c r="I201" s="26" t="s">
        <v>1306</v>
      </c>
      <c r="J201" s="26" t="s">
        <v>1319</v>
      </c>
    </row>
    <row r="202" spans="1:10" ht="16.5" hidden="1" x14ac:dyDescent="0.2">
      <c r="A202" s="26" t="s">
        <v>1626</v>
      </c>
      <c r="B202" s="26" t="s">
        <v>1299</v>
      </c>
      <c r="C202" s="26" t="s">
        <v>1314</v>
      </c>
      <c r="D202" s="26" t="s">
        <v>1346</v>
      </c>
      <c r="E202" s="26" t="s">
        <v>1353</v>
      </c>
      <c r="F202" s="26" t="s">
        <v>1623</v>
      </c>
      <c r="G202" s="26" t="s">
        <v>1304</v>
      </c>
      <c r="H202" s="26" t="s">
        <v>1305</v>
      </c>
      <c r="I202" s="26" t="s">
        <v>1306</v>
      </c>
      <c r="J202" s="26" t="s">
        <v>1319</v>
      </c>
    </row>
    <row r="203" spans="1:10" ht="16.5" hidden="1" x14ac:dyDescent="0.2">
      <c r="A203" s="26" t="s">
        <v>340</v>
      </c>
      <c r="B203" s="26" t="s">
        <v>1299</v>
      </c>
      <c r="C203" s="26" t="s">
        <v>1314</v>
      </c>
      <c r="D203" s="26" t="s">
        <v>1393</v>
      </c>
      <c r="E203" s="26" t="s">
        <v>1502</v>
      </c>
      <c r="F203" s="26" t="s">
        <v>1627</v>
      </c>
      <c r="G203" s="26" t="s">
        <v>1304</v>
      </c>
      <c r="H203" s="26" t="s">
        <v>1305</v>
      </c>
      <c r="I203" s="26" t="s">
        <v>1306</v>
      </c>
      <c r="J203" s="26" t="s">
        <v>1319</v>
      </c>
    </row>
    <row r="204" spans="1:10" ht="16.5" hidden="1" x14ac:dyDescent="0.2">
      <c r="A204" s="26" t="s">
        <v>342</v>
      </c>
      <c r="B204" s="26" t="s">
        <v>1299</v>
      </c>
      <c r="C204" s="26" t="s">
        <v>1314</v>
      </c>
      <c r="D204" s="26" t="s">
        <v>1393</v>
      </c>
      <c r="E204" s="26" t="s">
        <v>1502</v>
      </c>
      <c r="F204" s="26" t="s">
        <v>1627</v>
      </c>
      <c r="G204" s="26" t="s">
        <v>1304</v>
      </c>
      <c r="H204" s="26" t="s">
        <v>1305</v>
      </c>
      <c r="I204" s="26" t="s">
        <v>1306</v>
      </c>
      <c r="J204" s="26" t="s">
        <v>1319</v>
      </c>
    </row>
    <row r="205" spans="1:10" ht="16.5" hidden="1" x14ac:dyDescent="0.2">
      <c r="A205" s="26" t="s">
        <v>344</v>
      </c>
      <c r="B205" s="26" t="s">
        <v>1299</v>
      </c>
      <c r="C205" s="26" t="s">
        <v>1314</v>
      </c>
      <c r="D205" s="26" t="s">
        <v>1592</v>
      </c>
      <c r="E205" s="26" t="s">
        <v>1597</v>
      </c>
      <c r="F205" s="26" t="s">
        <v>1628</v>
      </c>
      <c r="G205" s="26" t="s">
        <v>1304</v>
      </c>
      <c r="H205" s="26" t="s">
        <v>1305</v>
      </c>
      <c r="I205" s="26" t="s">
        <v>1306</v>
      </c>
      <c r="J205" s="26" t="s">
        <v>1319</v>
      </c>
    </row>
    <row r="206" spans="1:10" ht="16.5" hidden="1" x14ac:dyDescent="0.2">
      <c r="A206" s="26" t="s">
        <v>1629</v>
      </c>
      <c r="B206" s="26" t="s">
        <v>1299</v>
      </c>
      <c r="C206" s="26" t="s">
        <v>1314</v>
      </c>
      <c r="D206" s="26" t="s">
        <v>1506</v>
      </c>
      <c r="E206" s="26" t="s">
        <v>1395</v>
      </c>
      <c r="F206" s="26" t="s">
        <v>1630</v>
      </c>
      <c r="G206" s="26" t="s">
        <v>1304</v>
      </c>
      <c r="H206" s="26" t="s">
        <v>1298</v>
      </c>
      <c r="I206" s="26" t="s">
        <v>1298</v>
      </c>
      <c r="J206" s="26" t="s">
        <v>1298</v>
      </c>
    </row>
    <row r="207" spans="1:10" ht="16.5" hidden="1" x14ac:dyDescent="0.2">
      <c r="A207" s="26" t="s">
        <v>1631</v>
      </c>
      <c r="B207" s="26" t="s">
        <v>1299</v>
      </c>
      <c r="C207" s="26" t="s">
        <v>1314</v>
      </c>
      <c r="D207" s="26" t="s">
        <v>1506</v>
      </c>
      <c r="E207" s="26" t="s">
        <v>1395</v>
      </c>
      <c r="F207" s="26" t="s">
        <v>1630</v>
      </c>
      <c r="G207" s="26" t="s">
        <v>1304</v>
      </c>
      <c r="H207" s="26" t="s">
        <v>1298</v>
      </c>
      <c r="I207" s="26" t="s">
        <v>1298</v>
      </c>
      <c r="J207" s="26" t="s">
        <v>1298</v>
      </c>
    </row>
    <row r="208" spans="1:10" ht="16.5" hidden="1" x14ac:dyDescent="0.2">
      <c r="A208" s="26" t="s">
        <v>1632</v>
      </c>
      <c r="B208" s="26" t="s">
        <v>1299</v>
      </c>
      <c r="C208" s="26" t="s">
        <v>1314</v>
      </c>
      <c r="D208" s="26" t="s">
        <v>1506</v>
      </c>
      <c r="E208" s="26" t="s">
        <v>1395</v>
      </c>
      <c r="F208" s="26" t="s">
        <v>1630</v>
      </c>
      <c r="G208" s="26" t="s">
        <v>1304</v>
      </c>
      <c r="H208" s="26" t="s">
        <v>1298</v>
      </c>
      <c r="I208" s="26" t="s">
        <v>1298</v>
      </c>
      <c r="J208" s="26" t="s">
        <v>1298</v>
      </c>
    </row>
    <row r="209" spans="1:10" ht="16.5" hidden="1" x14ac:dyDescent="0.2">
      <c r="A209" s="26" t="s">
        <v>150</v>
      </c>
      <c r="B209" s="26" t="s">
        <v>1413</v>
      </c>
      <c r="C209" s="26" t="s">
        <v>1470</v>
      </c>
      <c r="D209" s="26" t="s">
        <v>1471</v>
      </c>
      <c r="E209" s="26" t="s">
        <v>1496</v>
      </c>
      <c r="F209" s="26" t="s">
        <v>1633</v>
      </c>
      <c r="G209" s="26" t="s">
        <v>1304</v>
      </c>
      <c r="H209" s="26" t="s">
        <v>1312</v>
      </c>
      <c r="I209" s="26" t="s">
        <v>1313</v>
      </c>
      <c r="J209" s="26" t="s">
        <v>1307</v>
      </c>
    </row>
    <row r="210" spans="1:10" ht="16.5" hidden="1" x14ac:dyDescent="0.2">
      <c r="A210" s="26" t="s">
        <v>1634</v>
      </c>
      <c r="B210" s="26" t="s">
        <v>1299</v>
      </c>
      <c r="C210" s="26" t="s">
        <v>1314</v>
      </c>
      <c r="D210" s="26" t="s">
        <v>1592</v>
      </c>
      <c r="E210" s="26" t="s">
        <v>1395</v>
      </c>
      <c r="F210" s="26" t="s">
        <v>1630</v>
      </c>
      <c r="G210" s="26" t="s">
        <v>1304</v>
      </c>
      <c r="H210" s="26" t="s">
        <v>1305</v>
      </c>
      <c r="I210" s="26" t="s">
        <v>1306</v>
      </c>
      <c r="J210" s="26" t="s">
        <v>1319</v>
      </c>
    </row>
    <row r="211" spans="1:10" ht="16.5" hidden="1" x14ac:dyDescent="0.2">
      <c r="A211" s="26" t="s">
        <v>1635</v>
      </c>
      <c r="B211" s="26" t="s">
        <v>1299</v>
      </c>
      <c r="C211" s="26" t="s">
        <v>1314</v>
      </c>
      <c r="D211" s="26" t="s">
        <v>1592</v>
      </c>
      <c r="E211" s="26" t="s">
        <v>1395</v>
      </c>
      <c r="F211" s="26" t="s">
        <v>1630</v>
      </c>
      <c r="G211" s="26" t="s">
        <v>1304</v>
      </c>
      <c r="H211" s="26" t="s">
        <v>1305</v>
      </c>
      <c r="I211" s="26" t="s">
        <v>1306</v>
      </c>
      <c r="J211" s="26" t="s">
        <v>1319</v>
      </c>
    </row>
    <row r="212" spans="1:10" ht="16.5" hidden="1" x14ac:dyDescent="0.2">
      <c r="A212" s="26" t="s">
        <v>1636</v>
      </c>
      <c r="B212" s="26" t="s">
        <v>1299</v>
      </c>
      <c r="C212" s="26" t="s">
        <v>1314</v>
      </c>
      <c r="D212" s="26" t="s">
        <v>1346</v>
      </c>
      <c r="E212" s="26" t="s">
        <v>1353</v>
      </c>
      <c r="F212" s="26" t="s">
        <v>1637</v>
      </c>
      <c r="G212" s="26" t="s">
        <v>1304</v>
      </c>
      <c r="H212" s="26" t="s">
        <v>1305</v>
      </c>
      <c r="I212" s="26" t="s">
        <v>1306</v>
      </c>
      <c r="J212" s="26" t="s">
        <v>1319</v>
      </c>
    </row>
    <row r="213" spans="1:10" ht="16.5" hidden="1" x14ac:dyDescent="0.2">
      <c r="A213" s="26" t="s">
        <v>1638</v>
      </c>
      <c r="B213" s="26" t="s">
        <v>1299</v>
      </c>
      <c r="C213" s="26" t="s">
        <v>1314</v>
      </c>
      <c r="D213" s="26" t="s">
        <v>1346</v>
      </c>
      <c r="E213" s="26" t="s">
        <v>1353</v>
      </c>
      <c r="F213" s="26" t="s">
        <v>1637</v>
      </c>
      <c r="G213" s="26" t="s">
        <v>1304</v>
      </c>
      <c r="H213" s="26" t="s">
        <v>1305</v>
      </c>
      <c r="I213" s="26" t="s">
        <v>1306</v>
      </c>
      <c r="J213" s="26" t="s">
        <v>1319</v>
      </c>
    </row>
    <row r="214" spans="1:10" ht="16.5" hidden="1" x14ac:dyDescent="0.2">
      <c r="A214" s="26" t="s">
        <v>1640</v>
      </c>
      <c r="B214" s="26" t="s">
        <v>1299</v>
      </c>
      <c r="C214" s="26" t="s">
        <v>1314</v>
      </c>
      <c r="D214" s="26" t="s">
        <v>1639</v>
      </c>
      <c r="E214" s="26" t="s">
        <v>1415</v>
      </c>
      <c r="F214" s="26" t="s">
        <v>1641</v>
      </c>
      <c r="G214" s="26" t="s">
        <v>1304</v>
      </c>
      <c r="H214" s="26" t="s">
        <v>1305</v>
      </c>
      <c r="I214" s="26" t="s">
        <v>1306</v>
      </c>
      <c r="J214" s="26" t="s">
        <v>1428</v>
      </c>
    </row>
    <row r="215" spans="1:10" ht="16.5" hidden="1" x14ac:dyDescent="0.2">
      <c r="A215" s="26" t="s">
        <v>1642</v>
      </c>
      <c r="B215" s="26" t="s">
        <v>1299</v>
      </c>
      <c r="C215" s="26" t="s">
        <v>1314</v>
      </c>
      <c r="D215" s="26" t="s">
        <v>1506</v>
      </c>
      <c r="E215" s="26" t="s">
        <v>1395</v>
      </c>
      <c r="F215" s="26" t="s">
        <v>1643</v>
      </c>
      <c r="G215" s="26" t="s">
        <v>1304</v>
      </c>
      <c r="H215" s="26" t="s">
        <v>1298</v>
      </c>
      <c r="I215" s="26" t="s">
        <v>1298</v>
      </c>
      <c r="J215" s="26" t="s">
        <v>1298</v>
      </c>
    </row>
    <row r="216" spans="1:10" ht="16.5" hidden="1" x14ac:dyDescent="0.2">
      <c r="A216" s="26" t="s">
        <v>1644</v>
      </c>
      <c r="B216" s="26" t="s">
        <v>1299</v>
      </c>
      <c r="C216" s="26" t="s">
        <v>1314</v>
      </c>
      <c r="D216" s="26" t="s">
        <v>1506</v>
      </c>
      <c r="E216" s="26" t="s">
        <v>1395</v>
      </c>
      <c r="F216" s="26" t="s">
        <v>1643</v>
      </c>
      <c r="G216" s="26" t="s">
        <v>1304</v>
      </c>
      <c r="H216" s="26" t="s">
        <v>1298</v>
      </c>
      <c r="I216" s="26" t="s">
        <v>1298</v>
      </c>
      <c r="J216" s="26" t="s">
        <v>1298</v>
      </c>
    </row>
    <row r="217" spans="1:10" ht="16.5" hidden="1" x14ac:dyDescent="0.2">
      <c r="A217" s="26" t="s">
        <v>1645</v>
      </c>
      <c r="B217" s="26" t="s">
        <v>1299</v>
      </c>
      <c r="C217" s="26" t="s">
        <v>1314</v>
      </c>
      <c r="D217" s="26" t="s">
        <v>1506</v>
      </c>
      <c r="E217" s="26" t="s">
        <v>1395</v>
      </c>
      <c r="F217" s="26" t="s">
        <v>1643</v>
      </c>
      <c r="G217" s="26" t="s">
        <v>1304</v>
      </c>
      <c r="H217" s="26" t="s">
        <v>1298</v>
      </c>
      <c r="I217" s="26" t="s">
        <v>1298</v>
      </c>
      <c r="J217" s="26" t="s">
        <v>1298</v>
      </c>
    </row>
    <row r="218" spans="1:10" ht="16.5" hidden="1" x14ac:dyDescent="0.2">
      <c r="A218" s="26" t="s">
        <v>1646</v>
      </c>
      <c r="B218" s="26" t="s">
        <v>1299</v>
      </c>
      <c r="C218" s="26" t="s">
        <v>1314</v>
      </c>
      <c r="D218" s="26" t="s">
        <v>1506</v>
      </c>
      <c r="E218" s="26" t="s">
        <v>1395</v>
      </c>
      <c r="F218" s="26" t="s">
        <v>1643</v>
      </c>
      <c r="G218" s="26" t="s">
        <v>1304</v>
      </c>
      <c r="H218" s="26" t="s">
        <v>1298</v>
      </c>
      <c r="I218" s="26" t="s">
        <v>1298</v>
      </c>
      <c r="J218" s="26" t="s">
        <v>1298</v>
      </c>
    </row>
    <row r="219" spans="1:10" ht="16.5" hidden="1" x14ac:dyDescent="0.2">
      <c r="A219" s="26" t="s">
        <v>1647</v>
      </c>
      <c r="B219" s="26" t="s">
        <v>1299</v>
      </c>
      <c r="C219" s="26" t="s">
        <v>1314</v>
      </c>
      <c r="D219" s="26" t="s">
        <v>1506</v>
      </c>
      <c r="E219" s="26" t="s">
        <v>1395</v>
      </c>
      <c r="F219" s="26" t="s">
        <v>1643</v>
      </c>
      <c r="G219" s="26" t="s">
        <v>1304</v>
      </c>
      <c r="H219" s="26" t="s">
        <v>1298</v>
      </c>
      <c r="I219" s="26" t="s">
        <v>1298</v>
      </c>
      <c r="J219" s="26" t="s">
        <v>1298</v>
      </c>
    </row>
    <row r="220" spans="1:10" ht="16.5" hidden="1" x14ac:dyDescent="0.2">
      <c r="A220" s="26" t="s">
        <v>1649</v>
      </c>
      <c r="B220" s="26" t="s">
        <v>1542</v>
      </c>
      <c r="C220" s="26" t="s">
        <v>1314</v>
      </c>
      <c r="D220" s="26" t="s">
        <v>1648</v>
      </c>
      <c r="E220" s="26" t="s">
        <v>1650</v>
      </c>
      <c r="F220" s="26" t="s">
        <v>1651</v>
      </c>
      <c r="G220" s="26" t="s">
        <v>1304</v>
      </c>
      <c r="H220" s="26" t="s">
        <v>1298</v>
      </c>
      <c r="I220" s="26" t="s">
        <v>1298</v>
      </c>
      <c r="J220" s="26" t="s">
        <v>1298</v>
      </c>
    </row>
    <row r="221" spans="1:10" ht="16.5" hidden="1" x14ac:dyDescent="0.2">
      <c r="A221" s="26" t="s">
        <v>1652</v>
      </c>
      <c r="B221" s="26" t="s">
        <v>1542</v>
      </c>
      <c r="C221" s="26" t="s">
        <v>1314</v>
      </c>
      <c r="D221" s="26" t="s">
        <v>1648</v>
      </c>
      <c r="E221" s="26" t="s">
        <v>1650</v>
      </c>
      <c r="F221" s="26" t="s">
        <v>1651</v>
      </c>
      <c r="G221" s="26" t="s">
        <v>1304</v>
      </c>
      <c r="H221" s="26" t="s">
        <v>1298</v>
      </c>
      <c r="I221" s="26" t="s">
        <v>1298</v>
      </c>
      <c r="J221" s="26" t="s">
        <v>1298</v>
      </c>
    </row>
    <row r="222" spans="1:10" ht="16.5" hidden="1" x14ac:dyDescent="0.2">
      <c r="A222" s="26" t="s">
        <v>1653</v>
      </c>
      <c r="B222" s="26" t="s">
        <v>1299</v>
      </c>
      <c r="C222" s="26" t="s">
        <v>1314</v>
      </c>
      <c r="D222" s="26" t="s">
        <v>1592</v>
      </c>
      <c r="E222" s="26" t="s">
        <v>1395</v>
      </c>
      <c r="F222" s="26" t="s">
        <v>1654</v>
      </c>
      <c r="G222" s="26" t="s">
        <v>1304</v>
      </c>
      <c r="H222" s="26" t="s">
        <v>1305</v>
      </c>
      <c r="I222" s="26" t="s">
        <v>1306</v>
      </c>
      <c r="J222" s="26" t="s">
        <v>1319</v>
      </c>
    </row>
    <row r="223" spans="1:10" ht="16.5" hidden="1" x14ac:dyDescent="0.2">
      <c r="A223" s="26" t="s">
        <v>1655</v>
      </c>
      <c r="B223" s="26" t="s">
        <v>1299</v>
      </c>
      <c r="C223" s="26" t="s">
        <v>1314</v>
      </c>
      <c r="D223" s="26" t="s">
        <v>1592</v>
      </c>
      <c r="E223" s="26" t="s">
        <v>1395</v>
      </c>
      <c r="F223" s="26" t="s">
        <v>1654</v>
      </c>
      <c r="G223" s="26" t="s">
        <v>1304</v>
      </c>
      <c r="H223" s="26" t="s">
        <v>1305</v>
      </c>
      <c r="I223" s="26" t="s">
        <v>1306</v>
      </c>
      <c r="J223" s="26" t="s">
        <v>1319</v>
      </c>
    </row>
    <row r="224" spans="1:10" ht="16.5" hidden="1" x14ac:dyDescent="0.2">
      <c r="A224" s="26" t="s">
        <v>1656</v>
      </c>
      <c r="B224" s="26" t="s">
        <v>1299</v>
      </c>
      <c r="C224" s="26" t="s">
        <v>1314</v>
      </c>
      <c r="D224" s="26" t="s">
        <v>1592</v>
      </c>
      <c r="E224" s="26" t="s">
        <v>1395</v>
      </c>
      <c r="F224" s="26" t="s">
        <v>1654</v>
      </c>
      <c r="G224" s="26" t="s">
        <v>1304</v>
      </c>
      <c r="H224" s="26" t="s">
        <v>1305</v>
      </c>
      <c r="I224" s="26" t="s">
        <v>1306</v>
      </c>
      <c r="J224" s="26" t="s">
        <v>1319</v>
      </c>
    </row>
    <row r="225" spans="1:10" ht="16.5" hidden="1" x14ac:dyDescent="0.2">
      <c r="A225" s="26" t="s">
        <v>1657</v>
      </c>
      <c r="B225" s="26" t="s">
        <v>1299</v>
      </c>
      <c r="C225" s="26" t="s">
        <v>1314</v>
      </c>
      <c r="D225" s="26" t="s">
        <v>1592</v>
      </c>
      <c r="E225" s="26" t="s">
        <v>1395</v>
      </c>
      <c r="F225" s="26" t="s">
        <v>1654</v>
      </c>
      <c r="G225" s="26" t="s">
        <v>1304</v>
      </c>
      <c r="H225" s="26" t="s">
        <v>1305</v>
      </c>
      <c r="I225" s="26" t="s">
        <v>1306</v>
      </c>
      <c r="J225" s="26" t="s">
        <v>1319</v>
      </c>
    </row>
    <row r="226" spans="1:10" ht="16.5" hidden="1" x14ac:dyDescent="0.2">
      <c r="A226" s="26" t="s">
        <v>1658</v>
      </c>
      <c r="B226" s="26" t="s">
        <v>1299</v>
      </c>
      <c r="C226" s="26" t="s">
        <v>1314</v>
      </c>
      <c r="D226" s="26" t="s">
        <v>1592</v>
      </c>
      <c r="E226" s="26" t="s">
        <v>1395</v>
      </c>
      <c r="F226" s="26" t="s">
        <v>1654</v>
      </c>
      <c r="G226" s="26" t="s">
        <v>1304</v>
      </c>
      <c r="H226" s="26" t="s">
        <v>1305</v>
      </c>
      <c r="I226" s="26" t="s">
        <v>1306</v>
      </c>
      <c r="J226" s="26" t="s">
        <v>1319</v>
      </c>
    </row>
    <row r="227" spans="1:10" ht="16.5" hidden="1" x14ac:dyDescent="0.2">
      <c r="A227" s="26" t="s">
        <v>1659</v>
      </c>
      <c r="B227" s="26" t="s">
        <v>1299</v>
      </c>
      <c r="C227" s="26" t="s">
        <v>1314</v>
      </c>
      <c r="D227" s="26" t="s">
        <v>1346</v>
      </c>
      <c r="E227" s="26" t="s">
        <v>1353</v>
      </c>
      <c r="F227" s="26" t="s">
        <v>1660</v>
      </c>
      <c r="G227" s="26" t="s">
        <v>1304</v>
      </c>
      <c r="H227" s="26" t="s">
        <v>1305</v>
      </c>
      <c r="I227" s="26" t="s">
        <v>1306</v>
      </c>
      <c r="J227" s="26" t="s">
        <v>1319</v>
      </c>
    </row>
    <row r="228" spans="1:10" ht="16.5" hidden="1" x14ac:dyDescent="0.2">
      <c r="A228" s="26" t="s">
        <v>1661</v>
      </c>
      <c r="B228" s="26" t="s">
        <v>1299</v>
      </c>
      <c r="C228" s="26" t="s">
        <v>1314</v>
      </c>
      <c r="D228" s="26" t="s">
        <v>1346</v>
      </c>
      <c r="E228" s="26" t="s">
        <v>1353</v>
      </c>
      <c r="F228" s="26" t="s">
        <v>1660</v>
      </c>
      <c r="G228" s="26" t="s">
        <v>1304</v>
      </c>
      <c r="H228" s="26" t="s">
        <v>1305</v>
      </c>
      <c r="I228" s="26" t="s">
        <v>1306</v>
      </c>
      <c r="J228" s="26" t="s">
        <v>1319</v>
      </c>
    </row>
    <row r="229" spans="1:10" ht="16.5" hidden="1" x14ac:dyDescent="0.2">
      <c r="A229" s="26" t="s">
        <v>1662</v>
      </c>
      <c r="B229" s="26" t="s">
        <v>1299</v>
      </c>
      <c r="C229" s="26" t="s">
        <v>1314</v>
      </c>
      <c r="D229" s="26" t="s">
        <v>1346</v>
      </c>
      <c r="E229" s="26" t="s">
        <v>1353</v>
      </c>
      <c r="F229" s="26" t="s">
        <v>1660</v>
      </c>
      <c r="G229" s="26" t="s">
        <v>1304</v>
      </c>
      <c r="H229" s="26" t="s">
        <v>1305</v>
      </c>
      <c r="I229" s="26" t="s">
        <v>1306</v>
      </c>
      <c r="J229" s="26" t="s">
        <v>1319</v>
      </c>
    </row>
    <row r="230" spans="1:10" ht="16.5" hidden="1" x14ac:dyDescent="0.2">
      <c r="A230" s="26" t="s">
        <v>1663</v>
      </c>
      <c r="B230" s="26" t="s">
        <v>1299</v>
      </c>
      <c r="C230" s="26" t="s">
        <v>1314</v>
      </c>
      <c r="D230" s="26" t="s">
        <v>1346</v>
      </c>
      <c r="E230" s="26" t="s">
        <v>1353</v>
      </c>
      <c r="F230" s="26" t="s">
        <v>1660</v>
      </c>
      <c r="G230" s="26" t="s">
        <v>1304</v>
      </c>
      <c r="H230" s="26" t="s">
        <v>1305</v>
      </c>
      <c r="I230" s="26" t="s">
        <v>1306</v>
      </c>
      <c r="J230" s="26" t="s">
        <v>1319</v>
      </c>
    </row>
    <row r="231" spans="1:10" ht="16.5" hidden="1" x14ac:dyDescent="0.2">
      <c r="A231" s="26" t="s">
        <v>1664</v>
      </c>
      <c r="B231" s="26" t="s">
        <v>1299</v>
      </c>
      <c r="C231" s="26" t="s">
        <v>1314</v>
      </c>
      <c r="D231" s="26" t="s">
        <v>1346</v>
      </c>
      <c r="E231" s="26" t="s">
        <v>1353</v>
      </c>
      <c r="F231" s="26" t="s">
        <v>1660</v>
      </c>
      <c r="G231" s="26" t="s">
        <v>1304</v>
      </c>
      <c r="H231" s="26" t="s">
        <v>1305</v>
      </c>
      <c r="I231" s="26" t="s">
        <v>1306</v>
      </c>
      <c r="J231" s="26" t="s">
        <v>1319</v>
      </c>
    </row>
    <row r="232" spans="1:10" ht="16.5" hidden="1" x14ac:dyDescent="0.2">
      <c r="A232" s="26" t="s">
        <v>1665</v>
      </c>
      <c r="B232" s="26" t="s">
        <v>1299</v>
      </c>
      <c r="C232" s="26" t="s">
        <v>1314</v>
      </c>
      <c r="D232" s="26" t="s">
        <v>1514</v>
      </c>
      <c r="E232" s="26" t="s">
        <v>1496</v>
      </c>
      <c r="F232" s="26" t="s">
        <v>1666</v>
      </c>
      <c r="G232" s="26" t="s">
        <v>1304</v>
      </c>
      <c r="H232" s="26" t="s">
        <v>1298</v>
      </c>
      <c r="I232" s="26" t="s">
        <v>1298</v>
      </c>
      <c r="J232" s="26" t="s">
        <v>1298</v>
      </c>
    </row>
    <row r="233" spans="1:10" ht="16.5" hidden="1" x14ac:dyDescent="0.2">
      <c r="A233" s="26" t="s">
        <v>1667</v>
      </c>
      <c r="B233" s="26" t="s">
        <v>1299</v>
      </c>
      <c r="C233" s="26" t="s">
        <v>1314</v>
      </c>
      <c r="D233" s="26" t="s">
        <v>1517</v>
      </c>
      <c r="E233" s="26" t="s">
        <v>1519</v>
      </c>
      <c r="F233" s="26" t="s">
        <v>1668</v>
      </c>
      <c r="G233" s="26" t="s">
        <v>1304</v>
      </c>
      <c r="H233" s="26" t="s">
        <v>1305</v>
      </c>
      <c r="I233" s="26" t="s">
        <v>1313</v>
      </c>
      <c r="J233" s="26" t="s">
        <v>1365</v>
      </c>
    </row>
    <row r="234" spans="1:10" ht="16.5" hidden="1" x14ac:dyDescent="0.2">
      <c r="A234" s="26" t="s">
        <v>158</v>
      </c>
      <c r="B234" s="26" t="s">
        <v>1299</v>
      </c>
      <c r="C234" s="26" t="s">
        <v>1300</v>
      </c>
      <c r="D234" s="26" t="s">
        <v>1669</v>
      </c>
      <c r="E234" s="26" t="s">
        <v>1377</v>
      </c>
      <c r="F234" s="26" t="s">
        <v>1670</v>
      </c>
      <c r="G234" s="26" t="s">
        <v>1304</v>
      </c>
      <c r="H234" s="26" t="s">
        <v>1298</v>
      </c>
      <c r="I234" s="26" t="s">
        <v>1298</v>
      </c>
      <c r="J234" s="26" t="s">
        <v>1298</v>
      </c>
    </row>
    <row r="235" spans="1:10" ht="16.5" hidden="1" x14ac:dyDescent="0.2">
      <c r="A235" s="26" t="s">
        <v>160</v>
      </c>
      <c r="B235" s="26" t="s">
        <v>1299</v>
      </c>
      <c r="C235" s="26" t="s">
        <v>1300</v>
      </c>
      <c r="D235" s="26" t="s">
        <v>1669</v>
      </c>
      <c r="E235" s="26" t="s">
        <v>1377</v>
      </c>
      <c r="F235" s="26" t="s">
        <v>1670</v>
      </c>
      <c r="G235" s="26" t="s">
        <v>1304</v>
      </c>
      <c r="H235" s="26" t="s">
        <v>1298</v>
      </c>
      <c r="I235" s="26" t="s">
        <v>1298</v>
      </c>
      <c r="J235" s="26" t="s">
        <v>1298</v>
      </c>
    </row>
    <row r="236" spans="1:10" ht="16.5" hidden="1" x14ac:dyDescent="0.2">
      <c r="A236" s="26" t="s">
        <v>1671</v>
      </c>
      <c r="B236" s="26" t="s">
        <v>1299</v>
      </c>
      <c r="C236" s="26" t="s">
        <v>1300</v>
      </c>
      <c r="D236" s="26" t="s">
        <v>1669</v>
      </c>
      <c r="E236" s="26" t="s">
        <v>1456</v>
      </c>
      <c r="F236" s="26" t="s">
        <v>1672</v>
      </c>
      <c r="G236" s="26" t="s">
        <v>1304</v>
      </c>
      <c r="H236" s="26" t="s">
        <v>1298</v>
      </c>
      <c r="I236" s="26" t="s">
        <v>1298</v>
      </c>
      <c r="J236" s="26" t="s">
        <v>1298</v>
      </c>
    </row>
    <row r="237" spans="1:10" ht="16.5" hidden="1" x14ac:dyDescent="0.2">
      <c r="A237" s="26" t="s">
        <v>1673</v>
      </c>
      <c r="B237" s="26" t="s">
        <v>1299</v>
      </c>
      <c r="C237" s="26" t="s">
        <v>1300</v>
      </c>
      <c r="D237" s="26" t="s">
        <v>1669</v>
      </c>
      <c r="E237" s="26" t="s">
        <v>1456</v>
      </c>
      <c r="F237" s="26" t="s">
        <v>1672</v>
      </c>
      <c r="G237" s="26" t="s">
        <v>1304</v>
      </c>
      <c r="H237" s="26" t="s">
        <v>1298</v>
      </c>
      <c r="I237" s="26" t="s">
        <v>1298</v>
      </c>
      <c r="J237" s="26" t="s">
        <v>1298</v>
      </c>
    </row>
    <row r="238" spans="1:10" ht="16.5" hidden="1" x14ac:dyDescent="0.2">
      <c r="A238" s="26" t="s">
        <v>1674</v>
      </c>
      <c r="B238" s="26" t="s">
        <v>1299</v>
      </c>
      <c r="C238" s="26" t="s">
        <v>1300</v>
      </c>
      <c r="D238" s="26" t="s">
        <v>1669</v>
      </c>
      <c r="E238" s="26" t="s">
        <v>1456</v>
      </c>
      <c r="F238" s="26" t="s">
        <v>1672</v>
      </c>
      <c r="G238" s="26" t="s">
        <v>1304</v>
      </c>
      <c r="H238" s="26" t="s">
        <v>1298</v>
      </c>
      <c r="I238" s="26" t="s">
        <v>1298</v>
      </c>
      <c r="J238" s="26" t="s">
        <v>1298</v>
      </c>
    </row>
    <row r="239" spans="1:10" ht="16.5" hidden="1" x14ac:dyDescent="0.2">
      <c r="A239" s="26" t="s">
        <v>1675</v>
      </c>
      <c r="B239" s="26" t="s">
        <v>1299</v>
      </c>
      <c r="C239" s="26" t="s">
        <v>1300</v>
      </c>
      <c r="D239" s="26" t="s">
        <v>1669</v>
      </c>
      <c r="E239" s="26" t="s">
        <v>1456</v>
      </c>
      <c r="F239" s="26" t="s">
        <v>1672</v>
      </c>
      <c r="G239" s="26" t="s">
        <v>1304</v>
      </c>
      <c r="H239" s="26" t="s">
        <v>1298</v>
      </c>
      <c r="I239" s="26" t="s">
        <v>1298</v>
      </c>
      <c r="J239" s="26" t="s">
        <v>1298</v>
      </c>
    </row>
    <row r="240" spans="1:10" ht="16.5" hidden="1" x14ac:dyDescent="0.2">
      <c r="A240" s="26" t="s">
        <v>1676</v>
      </c>
      <c r="B240" s="26" t="s">
        <v>1299</v>
      </c>
      <c r="C240" s="26" t="s">
        <v>1300</v>
      </c>
      <c r="D240" s="26" t="s">
        <v>1669</v>
      </c>
      <c r="E240" s="26" t="s">
        <v>1456</v>
      </c>
      <c r="F240" s="26" t="s">
        <v>1672</v>
      </c>
      <c r="G240" s="26" t="s">
        <v>1304</v>
      </c>
      <c r="H240" s="26" t="s">
        <v>1298</v>
      </c>
      <c r="I240" s="26" t="s">
        <v>1298</v>
      </c>
      <c r="J240" s="26" t="s">
        <v>1298</v>
      </c>
    </row>
    <row r="241" spans="1:10" ht="16.5" hidden="1" x14ac:dyDescent="0.2">
      <c r="A241" s="26" t="s">
        <v>1677</v>
      </c>
      <c r="B241" s="26" t="s">
        <v>1299</v>
      </c>
      <c r="C241" s="26" t="s">
        <v>1300</v>
      </c>
      <c r="D241" s="26" t="s">
        <v>1669</v>
      </c>
      <c r="E241" s="26" t="s">
        <v>1456</v>
      </c>
      <c r="F241" s="26" t="s">
        <v>1670</v>
      </c>
      <c r="G241" s="26" t="s">
        <v>1304</v>
      </c>
      <c r="H241" s="26" t="s">
        <v>1298</v>
      </c>
      <c r="I241" s="26" t="s">
        <v>1298</v>
      </c>
      <c r="J241" s="26" t="s">
        <v>1298</v>
      </c>
    </row>
    <row r="242" spans="1:10" ht="16.5" hidden="1" x14ac:dyDescent="0.2">
      <c r="A242" s="26" t="s">
        <v>1678</v>
      </c>
      <c r="B242" s="26" t="s">
        <v>1299</v>
      </c>
      <c r="C242" s="26" t="s">
        <v>1300</v>
      </c>
      <c r="D242" s="26" t="s">
        <v>1669</v>
      </c>
      <c r="E242" s="26" t="s">
        <v>1456</v>
      </c>
      <c r="F242" s="26" t="s">
        <v>1670</v>
      </c>
      <c r="G242" s="26" t="s">
        <v>1304</v>
      </c>
      <c r="H242" s="26" t="s">
        <v>1298</v>
      </c>
      <c r="I242" s="26" t="s">
        <v>1298</v>
      </c>
      <c r="J242" s="26" t="s">
        <v>1298</v>
      </c>
    </row>
    <row r="243" spans="1:10" ht="16.5" hidden="1" x14ac:dyDescent="0.2">
      <c r="A243" s="26" t="s">
        <v>1679</v>
      </c>
      <c r="B243" s="26" t="s">
        <v>1299</v>
      </c>
      <c r="C243" s="26" t="s">
        <v>1300</v>
      </c>
      <c r="D243" s="26" t="s">
        <v>1669</v>
      </c>
      <c r="E243" s="26" t="s">
        <v>1456</v>
      </c>
      <c r="F243" s="26" t="s">
        <v>1670</v>
      </c>
      <c r="G243" s="26" t="s">
        <v>1304</v>
      </c>
      <c r="H243" s="26" t="s">
        <v>1298</v>
      </c>
      <c r="I243" s="26" t="s">
        <v>1298</v>
      </c>
      <c r="J243" s="26" t="s">
        <v>1298</v>
      </c>
    </row>
    <row r="244" spans="1:10" ht="16.5" hidden="1" x14ac:dyDescent="0.2">
      <c r="A244" s="26" t="s">
        <v>1680</v>
      </c>
      <c r="B244" s="26" t="s">
        <v>1299</v>
      </c>
      <c r="C244" s="26" t="s">
        <v>1300</v>
      </c>
      <c r="D244" s="26" t="s">
        <v>1669</v>
      </c>
      <c r="E244" s="26" t="s">
        <v>1456</v>
      </c>
      <c r="F244" s="26" t="s">
        <v>1670</v>
      </c>
      <c r="G244" s="26" t="s">
        <v>1304</v>
      </c>
      <c r="H244" s="26" t="s">
        <v>1298</v>
      </c>
      <c r="I244" s="26" t="s">
        <v>1298</v>
      </c>
      <c r="J244" s="26" t="s">
        <v>1298</v>
      </c>
    </row>
    <row r="245" spans="1:10" ht="16.5" hidden="1" x14ac:dyDescent="0.2">
      <c r="A245" s="26" t="s">
        <v>1681</v>
      </c>
      <c r="B245" s="26" t="s">
        <v>1299</v>
      </c>
      <c r="C245" s="26" t="s">
        <v>1300</v>
      </c>
      <c r="D245" s="26" t="s">
        <v>1669</v>
      </c>
      <c r="E245" s="26" t="s">
        <v>1456</v>
      </c>
      <c r="F245" s="26" t="s">
        <v>1670</v>
      </c>
      <c r="G245" s="26" t="s">
        <v>1304</v>
      </c>
      <c r="H245" s="26" t="s">
        <v>1298</v>
      </c>
      <c r="I245" s="26" t="s">
        <v>1298</v>
      </c>
      <c r="J245" s="26" t="s">
        <v>1298</v>
      </c>
    </row>
    <row r="246" spans="1:10" ht="16.5" hidden="1" x14ac:dyDescent="0.2">
      <c r="A246" s="26" t="s">
        <v>1682</v>
      </c>
      <c r="B246" s="26" t="s">
        <v>1299</v>
      </c>
      <c r="C246" s="26" t="s">
        <v>1314</v>
      </c>
      <c r="D246" s="26" t="s">
        <v>1592</v>
      </c>
      <c r="E246" s="26" t="s">
        <v>1395</v>
      </c>
      <c r="F246" s="26" t="s">
        <v>1670</v>
      </c>
      <c r="G246" s="26" t="s">
        <v>1304</v>
      </c>
      <c r="H246" s="26" t="s">
        <v>1305</v>
      </c>
      <c r="I246" s="26" t="s">
        <v>1306</v>
      </c>
      <c r="J246" s="26" t="s">
        <v>1319</v>
      </c>
    </row>
    <row r="247" spans="1:10" ht="16.5" hidden="1" x14ac:dyDescent="0.2">
      <c r="A247" s="26" t="s">
        <v>1683</v>
      </c>
      <c r="B247" s="26" t="s">
        <v>1299</v>
      </c>
      <c r="C247" s="26" t="s">
        <v>1314</v>
      </c>
      <c r="D247" s="26" t="s">
        <v>1592</v>
      </c>
      <c r="E247" s="26" t="s">
        <v>1395</v>
      </c>
      <c r="F247" s="26" t="s">
        <v>1670</v>
      </c>
      <c r="G247" s="26" t="s">
        <v>1304</v>
      </c>
      <c r="H247" s="26" t="s">
        <v>1305</v>
      </c>
      <c r="I247" s="26" t="s">
        <v>1306</v>
      </c>
      <c r="J247" s="26" t="s">
        <v>1319</v>
      </c>
    </row>
    <row r="248" spans="1:10" ht="16.5" hidden="1" x14ac:dyDescent="0.2">
      <c r="A248" s="26" t="s">
        <v>1684</v>
      </c>
      <c r="B248" s="26" t="s">
        <v>1299</v>
      </c>
      <c r="C248" s="26" t="s">
        <v>1314</v>
      </c>
      <c r="D248" s="26" t="s">
        <v>1592</v>
      </c>
      <c r="E248" s="26" t="s">
        <v>1395</v>
      </c>
      <c r="F248" s="26" t="s">
        <v>1670</v>
      </c>
      <c r="G248" s="26" t="s">
        <v>1304</v>
      </c>
      <c r="H248" s="26" t="s">
        <v>1305</v>
      </c>
      <c r="I248" s="26" t="s">
        <v>1306</v>
      </c>
      <c r="J248" s="26" t="s">
        <v>1319</v>
      </c>
    </row>
    <row r="249" spans="1:10" ht="16.5" hidden="1" x14ac:dyDescent="0.2">
      <c r="A249" s="26" t="s">
        <v>1685</v>
      </c>
      <c r="B249" s="26" t="s">
        <v>1299</v>
      </c>
      <c r="C249" s="26" t="s">
        <v>1314</v>
      </c>
      <c r="D249" s="26" t="s">
        <v>1592</v>
      </c>
      <c r="E249" s="26" t="s">
        <v>1395</v>
      </c>
      <c r="F249" s="26" t="s">
        <v>1670</v>
      </c>
      <c r="G249" s="26" t="s">
        <v>1304</v>
      </c>
      <c r="H249" s="26" t="s">
        <v>1305</v>
      </c>
      <c r="I249" s="26" t="s">
        <v>1306</v>
      </c>
      <c r="J249" s="26" t="s">
        <v>1319</v>
      </c>
    </row>
    <row r="250" spans="1:10" ht="16.5" hidden="1" x14ac:dyDescent="0.2">
      <c r="A250" s="26" t="s">
        <v>1686</v>
      </c>
      <c r="B250" s="26" t="s">
        <v>1299</v>
      </c>
      <c r="C250" s="26" t="s">
        <v>1314</v>
      </c>
      <c r="D250" s="26" t="s">
        <v>1592</v>
      </c>
      <c r="E250" s="26" t="s">
        <v>1395</v>
      </c>
      <c r="F250" s="26" t="s">
        <v>1670</v>
      </c>
      <c r="G250" s="26" t="s">
        <v>1304</v>
      </c>
      <c r="H250" s="26" t="s">
        <v>1305</v>
      </c>
      <c r="I250" s="26" t="s">
        <v>1306</v>
      </c>
      <c r="J250" s="26" t="s">
        <v>1319</v>
      </c>
    </row>
    <row r="251" spans="1:10" ht="16.5" hidden="1" x14ac:dyDescent="0.2">
      <c r="A251" s="26" t="s">
        <v>1687</v>
      </c>
      <c r="B251" s="26" t="s">
        <v>1299</v>
      </c>
      <c r="C251" s="26" t="s">
        <v>1314</v>
      </c>
      <c r="D251" s="26" t="s">
        <v>1592</v>
      </c>
      <c r="E251" s="26" t="s">
        <v>1395</v>
      </c>
      <c r="F251" s="26" t="s">
        <v>1672</v>
      </c>
      <c r="G251" s="26" t="s">
        <v>1304</v>
      </c>
      <c r="H251" s="26" t="s">
        <v>1305</v>
      </c>
      <c r="I251" s="26" t="s">
        <v>1306</v>
      </c>
      <c r="J251" s="26" t="s">
        <v>1319</v>
      </c>
    </row>
    <row r="252" spans="1:10" ht="16.5" hidden="1" x14ac:dyDescent="0.2">
      <c r="A252" s="26" t="s">
        <v>1688</v>
      </c>
      <c r="B252" s="26" t="s">
        <v>1299</v>
      </c>
      <c r="C252" s="26" t="s">
        <v>1314</v>
      </c>
      <c r="D252" s="26" t="s">
        <v>1592</v>
      </c>
      <c r="E252" s="26" t="s">
        <v>1395</v>
      </c>
      <c r="F252" s="26" t="s">
        <v>1672</v>
      </c>
      <c r="G252" s="26" t="s">
        <v>1304</v>
      </c>
      <c r="H252" s="26" t="s">
        <v>1305</v>
      </c>
      <c r="I252" s="26" t="s">
        <v>1306</v>
      </c>
      <c r="J252" s="26" t="s">
        <v>1319</v>
      </c>
    </row>
    <row r="253" spans="1:10" ht="16.5" hidden="1" x14ac:dyDescent="0.2">
      <c r="A253" s="26" t="s">
        <v>1689</v>
      </c>
      <c r="B253" s="26" t="s">
        <v>1299</v>
      </c>
      <c r="C253" s="26" t="s">
        <v>1314</v>
      </c>
      <c r="D253" s="26" t="s">
        <v>1592</v>
      </c>
      <c r="E253" s="26" t="s">
        <v>1395</v>
      </c>
      <c r="F253" s="26" t="s">
        <v>1672</v>
      </c>
      <c r="G253" s="26" t="s">
        <v>1304</v>
      </c>
      <c r="H253" s="26" t="s">
        <v>1305</v>
      </c>
      <c r="I253" s="26" t="s">
        <v>1306</v>
      </c>
      <c r="J253" s="26" t="s">
        <v>1319</v>
      </c>
    </row>
    <row r="254" spans="1:10" ht="16.5" hidden="1" x14ac:dyDescent="0.2">
      <c r="A254" s="26" t="s">
        <v>1690</v>
      </c>
      <c r="B254" s="26" t="s">
        <v>1299</v>
      </c>
      <c r="C254" s="26" t="s">
        <v>1314</v>
      </c>
      <c r="D254" s="26" t="s">
        <v>1592</v>
      </c>
      <c r="E254" s="26" t="s">
        <v>1395</v>
      </c>
      <c r="F254" s="26" t="s">
        <v>1672</v>
      </c>
      <c r="G254" s="26" t="s">
        <v>1304</v>
      </c>
      <c r="H254" s="26" t="s">
        <v>1305</v>
      </c>
      <c r="I254" s="26" t="s">
        <v>1306</v>
      </c>
      <c r="J254" s="26" t="s">
        <v>1319</v>
      </c>
    </row>
    <row r="255" spans="1:10" ht="16.5" hidden="1" x14ac:dyDescent="0.2">
      <c r="A255" s="26" t="s">
        <v>1691</v>
      </c>
      <c r="B255" s="26" t="s">
        <v>1299</v>
      </c>
      <c r="C255" s="26" t="s">
        <v>1314</v>
      </c>
      <c r="D255" s="26" t="s">
        <v>1592</v>
      </c>
      <c r="E255" s="26" t="s">
        <v>1395</v>
      </c>
      <c r="F255" s="26" t="s">
        <v>1672</v>
      </c>
      <c r="G255" s="26" t="s">
        <v>1304</v>
      </c>
      <c r="H255" s="26" t="s">
        <v>1305</v>
      </c>
      <c r="I255" s="26" t="s">
        <v>1306</v>
      </c>
      <c r="J255" s="26" t="s">
        <v>1319</v>
      </c>
    </row>
    <row r="256" spans="1:10" ht="16.5" hidden="1" x14ac:dyDescent="0.2">
      <c r="A256" s="26" t="s">
        <v>1692</v>
      </c>
      <c r="B256" s="26" t="s">
        <v>1299</v>
      </c>
      <c r="C256" s="26" t="s">
        <v>1314</v>
      </c>
      <c r="D256" s="26" t="s">
        <v>1424</v>
      </c>
      <c r="E256" s="26" t="s">
        <v>1693</v>
      </c>
      <c r="F256" s="26" t="s">
        <v>1694</v>
      </c>
      <c r="G256" s="26" t="s">
        <v>1304</v>
      </c>
      <c r="H256" s="26" t="s">
        <v>1305</v>
      </c>
      <c r="I256" s="26" t="s">
        <v>1363</v>
      </c>
      <c r="J256" s="26" t="s">
        <v>1388</v>
      </c>
    </row>
    <row r="257" spans="1:10" ht="16.5" hidden="1" x14ac:dyDescent="0.2">
      <c r="A257" s="26" t="s">
        <v>1695</v>
      </c>
      <c r="B257" s="26" t="s">
        <v>1299</v>
      </c>
      <c r="C257" s="26" t="s">
        <v>1314</v>
      </c>
      <c r="D257" s="26" t="s">
        <v>1424</v>
      </c>
      <c r="E257" s="26" t="s">
        <v>1693</v>
      </c>
      <c r="F257" s="26" t="s">
        <v>1694</v>
      </c>
      <c r="G257" s="26" t="s">
        <v>1304</v>
      </c>
      <c r="H257" s="26" t="s">
        <v>1305</v>
      </c>
      <c r="I257" s="26" t="s">
        <v>1363</v>
      </c>
      <c r="J257" s="26" t="s">
        <v>1388</v>
      </c>
    </row>
    <row r="258" spans="1:10" ht="16.5" hidden="1" x14ac:dyDescent="0.2">
      <c r="A258" s="26" t="s">
        <v>1696</v>
      </c>
      <c r="B258" s="26" t="s">
        <v>1299</v>
      </c>
      <c r="C258" s="26" t="s">
        <v>1314</v>
      </c>
      <c r="D258" s="26" t="s">
        <v>1424</v>
      </c>
      <c r="E258" s="26" t="s">
        <v>1693</v>
      </c>
      <c r="F258" s="26" t="s">
        <v>1694</v>
      </c>
      <c r="G258" s="26" t="s">
        <v>1304</v>
      </c>
      <c r="H258" s="26" t="s">
        <v>1305</v>
      </c>
      <c r="I258" s="26" t="s">
        <v>1363</v>
      </c>
      <c r="J258" s="26" t="s">
        <v>1388</v>
      </c>
    </row>
    <row r="259" spans="1:10" ht="16.5" hidden="1" x14ac:dyDescent="0.2">
      <c r="A259" s="26" t="s">
        <v>1697</v>
      </c>
      <c r="B259" s="26" t="s">
        <v>1299</v>
      </c>
      <c r="C259" s="26" t="s">
        <v>1314</v>
      </c>
      <c r="D259" s="26" t="s">
        <v>1424</v>
      </c>
      <c r="E259" s="26" t="s">
        <v>1693</v>
      </c>
      <c r="F259" s="26" t="s">
        <v>1698</v>
      </c>
      <c r="G259" s="26" t="s">
        <v>1304</v>
      </c>
      <c r="H259" s="26" t="s">
        <v>1305</v>
      </c>
      <c r="I259" s="26" t="s">
        <v>1363</v>
      </c>
      <c r="J259" s="26" t="s">
        <v>1388</v>
      </c>
    </row>
    <row r="260" spans="1:10" ht="16.5" hidden="1" x14ac:dyDescent="0.2">
      <c r="A260" s="26" t="s">
        <v>184</v>
      </c>
      <c r="B260" s="26" t="s">
        <v>1299</v>
      </c>
      <c r="C260" s="26" t="s">
        <v>1300</v>
      </c>
      <c r="D260" s="26" t="s">
        <v>1669</v>
      </c>
      <c r="E260" s="26" t="s">
        <v>1395</v>
      </c>
      <c r="F260" s="26" t="s">
        <v>1699</v>
      </c>
      <c r="G260" s="26" t="s">
        <v>1304</v>
      </c>
      <c r="H260" s="26" t="s">
        <v>1298</v>
      </c>
      <c r="I260" s="26" t="s">
        <v>1298</v>
      </c>
      <c r="J260" s="26" t="s">
        <v>1298</v>
      </c>
    </row>
    <row r="261" spans="1:10" ht="16.5" hidden="1" x14ac:dyDescent="0.2">
      <c r="A261" s="26" t="s">
        <v>1700</v>
      </c>
      <c r="B261" s="26" t="s">
        <v>1299</v>
      </c>
      <c r="C261" s="26" t="s">
        <v>1314</v>
      </c>
      <c r="D261" s="26" t="s">
        <v>1592</v>
      </c>
      <c r="E261" s="26" t="s">
        <v>1701</v>
      </c>
      <c r="F261" s="26" t="s">
        <v>1702</v>
      </c>
      <c r="G261" s="26" t="s">
        <v>1304</v>
      </c>
      <c r="H261" s="26" t="s">
        <v>1305</v>
      </c>
      <c r="I261" s="26" t="s">
        <v>1306</v>
      </c>
      <c r="J261" s="26" t="s">
        <v>1319</v>
      </c>
    </row>
    <row r="262" spans="1:10" ht="16.5" hidden="1" x14ac:dyDescent="0.2">
      <c r="A262" s="26" t="s">
        <v>1703</v>
      </c>
      <c r="B262" s="26" t="s">
        <v>1299</v>
      </c>
      <c r="C262" s="26" t="s">
        <v>1314</v>
      </c>
      <c r="D262" s="26" t="s">
        <v>1592</v>
      </c>
      <c r="E262" s="26" t="s">
        <v>1701</v>
      </c>
      <c r="F262" s="26" t="s">
        <v>1702</v>
      </c>
      <c r="G262" s="26" t="s">
        <v>1304</v>
      </c>
      <c r="H262" s="26" t="s">
        <v>1305</v>
      </c>
      <c r="I262" s="26" t="s">
        <v>1306</v>
      </c>
      <c r="J262" s="26" t="s">
        <v>1319</v>
      </c>
    </row>
    <row r="263" spans="1:10" ht="16.5" hidden="1" x14ac:dyDescent="0.2">
      <c r="A263" s="26" t="s">
        <v>1704</v>
      </c>
      <c r="B263" s="26" t="s">
        <v>1299</v>
      </c>
      <c r="C263" s="26" t="s">
        <v>1314</v>
      </c>
      <c r="D263" s="26" t="s">
        <v>1592</v>
      </c>
      <c r="E263" s="26" t="s">
        <v>1701</v>
      </c>
      <c r="F263" s="26" t="s">
        <v>1702</v>
      </c>
      <c r="G263" s="26" t="s">
        <v>1304</v>
      </c>
      <c r="H263" s="26" t="s">
        <v>1305</v>
      </c>
      <c r="I263" s="26" t="s">
        <v>1306</v>
      </c>
      <c r="J263" s="26" t="s">
        <v>1319</v>
      </c>
    </row>
    <row r="264" spans="1:10" ht="16.5" hidden="1" x14ac:dyDescent="0.2">
      <c r="A264" s="26" t="s">
        <v>1705</v>
      </c>
      <c r="B264" s="26" t="s">
        <v>1299</v>
      </c>
      <c r="C264" s="26" t="s">
        <v>1314</v>
      </c>
      <c r="D264" s="26" t="s">
        <v>1592</v>
      </c>
      <c r="E264" s="26" t="s">
        <v>1701</v>
      </c>
      <c r="F264" s="26" t="s">
        <v>1702</v>
      </c>
      <c r="G264" s="26" t="s">
        <v>1304</v>
      </c>
      <c r="H264" s="26" t="s">
        <v>1305</v>
      </c>
      <c r="I264" s="26" t="s">
        <v>1306</v>
      </c>
      <c r="J264" s="26" t="s">
        <v>1319</v>
      </c>
    </row>
    <row r="265" spans="1:10" ht="16.5" hidden="1" x14ac:dyDescent="0.2">
      <c r="A265" s="26" t="s">
        <v>90</v>
      </c>
      <c r="B265" s="26" t="s">
        <v>1413</v>
      </c>
      <c r="C265" s="26" t="s">
        <v>1470</v>
      </c>
      <c r="D265" s="26" t="s">
        <v>1471</v>
      </c>
      <c r="E265" s="26" t="s">
        <v>1706</v>
      </c>
      <c r="F265" s="26" t="s">
        <v>1707</v>
      </c>
      <c r="G265" s="26" t="s">
        <v>1304</v>
      </c>
      <c r="H265" s="26" t="s">
        <v>1305</v>
      </c>
      <c r="I265" s="26" t="s">
        <v>1306</v>
      </c>
      <c r="J265" s="26" t="s">
        <v>1307</v>
      </c>
    </row>
    <row r="266" spans="1:10" ht="16.5" hidden="1" x14ac:dyDescent="0.2">
      <c r="A266" s="26" t="s">
        <v>1709</v>
      </c>
      <c r="B266" s="26" t="s">
        <v>1542</v>
      </c>
      <c r="C266" s="26" t="s">
        <v>1543</v>
      </c>
      <c r="D266" s="26" t="s">
        <v>1708</v>
      </c>
      <c r="E266" s="26" t="s">
        <v>1710</v>
      </c>
      <c r="F266" s="26" t="s">
        <v>1711</v>
      </c>
      <c r="G266" s="26" t="s">
        <v>1304</v>
      </c>
      <c r="H266" s="26" t="s">
        <v>1298</v>
      </c>
      <c r="I266" s="26" t="s">
        <v>1298</v>
      </c>
      <c r="J266" s="26" t="s">
        <v>1298</v>
      </c>
    </row>
    <row r="267" spans="1:10" ht="16.5" hidden="1" x14ac:dyDescent="0.2">
      <c r="A267" s="26" t="s">
        <v>1712</v>
      </c>
      <c r="B267" s="26" t="s">
        <v>1542</v>
      </c>
      <c r="C267" s="26" t="s">
        <v>1543</v>
      </c>
      <c r="D267" s="26" t="s">
        <v>1708</v>
      </c>
      <c r="E267" s="26" t="s">
        <v>1710</v>
      </c>
      <c r="F267" s="26" t="s">
        <v>1711</v>
      </c>
      <c r="G267" s="26" t="s">
        <v>1304</v>
      </c>
      <c r="H267" s="26" t="s">
        <v>1298</v>
      </c>
      <c r="I267" s="26" t="s">
        <v>1298</v>
      </c>
      <c r="J267" s="26" t="s">
        <v>1298</v>
      </c>
    </row>
    <row r="268" spans="1:10" ht="16.5" hidden="1" x14ac:dyDescent="0.2">
      <c r="A268" s="26" t="s">
        <v>1713</v>
      </c>
      <c r="B268" s="26" t="s">
        <v>1542</v>
      </c>
      <c r="C268" s="26" t="s">
        <v>1543</v>
      </c>
      <c r="D268" s="26" t="s">
        <v>1708</v>
      </c>
      <c r="E268" s="26" t="s">
        <v>1710</v>
      </c>
      <c r="F268" s="26" t="s">
        <v>1711</v>
      </c>
      <c r="G268" s="26" t="s">
        <v>1304</v>
      </c>
      <c r="H268" s="26" t="s">
        <v>1298</v>
      </c>
      <c r="I268" s="26" t="s">
        <v>1298</v>
      </c>
      <c r="J268" s="26" t="s">
        <v>1298</v>
      </c>
    </row>
    <row r="269" spans="1:10" ht="16.5" hidden="1" x14ac:dyDescent="0.2">
      <c r="A269" s="26" t="s">
        <v>1715</v>
      </c>
      <c r="B269" s="26" t="s">
        <v>1299</v>
      </c>
      <c r="C269" s="26" t="s">
        <v>1314</v>
      </c>
      <c r="D269" s="26" t="s">
        <v>1714</v>
      </c>
      <c r="E269" s="26" t="s">
        <v>1716</v>
      </c>
      <c r="F269" s="26" t="s">
        <v>1717</v>
      </c>
      <c r="G269" s="26" t="s">
        <v>1304</v>
      </c>
      <c r="H269" s="26" t="s">
        <v>1305</v>
      </c>
      <c r="I269" s="26" t="s">
        <v>1363</v>
      </c>
      <c r="J269" s="26" t="s">
        <v>1388</v>
      </c>
    </row>
    <row r="270" spans="1:10" ht="16.5" hidden="1" x14ac:dyDescent="0.2">
      <c r="A270" s="26" t="s">
        <v>1287</v>
      </c>
      <c r="B270" s="26" t="s">
        <v>1299</v>
      </c>
      <c r="C270" s="26" t="s">
        <v>1314</v>
      </c>
      <c r="D270" s="26" t="s">
        <v>1718</v>
      </c>
      <c r="E270" s="26" t="s">
        <v>1719</v>
      </c>
      <c r="F270" s="26" t="s">
        <v>1720</v>
      </c>
      <c r="G270" s="26" t="s">
        <v>1304</v>
      </c>
      <c r="H270" s="26" t="s">
        <v>1305</v>
      </c>
      <c r="I270" s="26" t="s">
        <v>1306</v>
      </c>
      <c r="J270" s="26" t="s">
        <v>1319</v>
      </c>
    </row>
    <row r="271" spans="1:10" ht="16.5" hidden="1" x14ac:dyDescent="0.2">
      <c r="A271" s="26" t="s">
        <v>1721</v>
      </c>
      <c r="B271" s="26" t="s">
        <v>1299</v>
      </c>
      <c r="C271" s="26" t="s">
        <v>1314</v>
      </c>
      <c r="D271" s="26" t="s">
        <v>1424</v>
      </c>
      <c r="E271" s="26" t="s">
        <v>1722</v>
      </c>
      <c r="F271" s="26" t="s">
        <v>1720</v>
      </c>
      <c r="G271" s="26" t="s">
        <v>1304</v>
      </c>
      <c r="H271" s="26" t="s">
        <v>1305</v>
      </c>
      <c r="I271" s="26" t="s">
        <v>1306</v>
      </c>
      <c r="J271" s="26" t="s">
        <v>1428</v>
      </c>
    </row>
    <row r="272" spans="1:10" ht="16.5" hidden="1" x14ac:dyDescent="0.2">
      <c r="A272" s="26" t="s">
        <v>1723</v>
      </c>
      <c r="B272" s="26" t="s">
        <v>1299</v>
      </c>
      <c r="C272" s="26" t="s">
        <v>1314</v>
      </c>
      <c r="D272" s="26" t="s">
        <v>1424</v>
      </c>
      <c r="E272" s="26" t="s">
        <v>1722</v>
      </c>
      <c r="F272" s="26" t="s">
        <v>1720</v>
      </c>
      <c r="G272" s="26" t="s">
        <v>1304</v>
      </c>
      <c r="H272" s="26" t="s">
        <v>1305</v>
      </c>
      <c r="I272" s="26" t="s">
        <v>1306</v>
      </c>
      <c r="J272" s="26" t="s">
        <v>1428</v>
      </c>
    </row>
    <row r="273" spans="1:10" ht="16.5" hidden="1" x14ac:dyDescent="0.2">
      <c r="A273" s="26" t="s">
        <v>1725</v>
      </c>
      <c r="B273" s="26" t="s">
        <v>1413</v>
      </c>
      <c r="C273" s="26" t="s">
        <v>1304</v>
      </c>
      <c r="D273" s="26" t="s">
        <v>1724</v>
      </c>
      <c r="E273" s="26" t="s">
        <v>1726</v>
      </c>
      <c r="F273" s="26" t="s">
        <v>1727</v>
      </c>
      <c r="G273" s="26" t="s">
        <v>1304</v>
      </c>
      <c r="H273" s="26" t="s">
        <v>1298</v>
      </c>
      <c r="I273" s="26" t="s">
        <v>1298</v>
      </c>
      <c r="J273" s="26" t="s">
        <v>1298</v>
      </c>
    </row>
    <row r="274" spans="1:10" ht="16.5" hidden="1" x14ac:dyDescent="0.2">
      <c r="A274" s="26" t="s">
        <v>1728</v>
      </c>
      <c r="B274" s="26" t="s">
        <v>1413</v>
      </c>
      <c r="C274" s="26" t="s">
        <v>1304</v>
      </c>
      <c r="D274" s="26" t="s">
        <v>1724</v>
      </c>
      <c r="E274" s="26" t="s">
        <v>1726</v>
      </c>
      <c r="F274" s="26" t="s">
        <v>1727</v>
      </c>
      <c r="G274" s="26" t="s">
        <v>1304</v>
      </c>
      <c r="H274" s="26" t="s">
        <v>1298</v>
      </c>
      <c r="I274" s="26" t="s">
        <v>1298</v>
      </c>
      <c r="J274" s="26" t="s">
        <v>1298</v>
      </c>
    </row>
    <row r="275" spans="1:10" ht="16.5" hidden="1" x14ac:dyDescent="0.2">
      <c r="A275" s="26" t="s">
        <v>1729</v>
      </c>
      <c r="B275" s="26" t="s">
        <v>1413</v>
      </c>
      <c r="C275" s="26" t="s">
        <v>1304</v>
      </c>
      <c r="D275" s="26" t="s">
        <v>1724</v>
      </c>
      <c r="E275" s="26" t="s">
        <v>1726</v>
      </c>
      <c r="F275" s="26" t="s">
        <v>1727</v>
      </c>
      <c r="G275" s="26" t="s">
        <v>1304</v>
      </c>
      <c r="H275" s="26" t="s">
        <v>1298</v>
      </c>
      <c r="I275" s="26" t="s">
        <v>1298</v>
      </c>
      <c r="J275" s="26" t="s">
        <v>1298</v>
      </c>
    </row>
    <row r="276" spans="1:10" ht="16.5" hidden="1" x14ac:dyDescent="0.2">
      <c r="A276" s="26" t="s">
        <v>1730</v>
      </c>
      <c r="B276" s="26" t="s">
        <v>1413</v>
      </c>
      <c r="C276" s="26" t="s">
        <v>1304</v>
      </c>
      <c r="D276" s="26" t="s">
        <v>1724</v>
      </c>
      <c r="E276" s="26" t="s">
        <v>1726</v>
      </c>
      <c r="F276" s="26" t="s">
        <v>1731</v>
      </c>
      <c r="G276" s="26" t="s">
        <v>1304</v>
      </c>
      <c r="H276" s="26" t="s">
        <v>1298</v>
      </c>
      <c r="I276" s="26" t="s">
        <v>1298</v>
      </c>
      <c r="J276" s="26" t="s">
        <v>1298</v>
      </c>
    </row>
    <row r="277" spans="1:10" ht="16.5" hidden="1" x14ac:dyDescent="0.2">
      <c r="A277" s="26" t="s">
        <v>1732</v>
      </c>
      <c r="B277" s="26" t="s">
        <v>1299</v>
      </c>
      <c r="C277" s="26" t="s">
        <v>1314</v>
      </c>
      <c r="D277" s="26" t="s">
        <v>1315</v>
      </c>
      <c r="E277" s="26" t="s">
        <v>1395</v>
      </c>
      <c r="F277" s="26" t="s">
        <v>1733</v>
      </c>
      <c r="G277" s="26" t="s">
        <v>1304</v>
      </c>
      <c r="H277" s="26" t="s">
        <v>1305</v>
      </c>
      <c r="I277" s="26" t="s">
        <v>1306</v>
      </c>
      <c r="J277" s="26" t="s">
        <v>1319</v>
      </c>
    </row>
    <row r="278" spans="1:10" ht="16.5" hidden="1" x14ac:dyDescent="0.2">
      <c r="A278" s="26" t="s">
        <v>1734</v>
      </c>
      <c r="B278" s="26" t="s">
        <v>1299</v>
      </c>
      <c r="C278" s="26" t="s">
        <v>1314</v>
      </c>
      <c r="D278" s="26" t="s">
        <v>1393</v>
      </c>
      <c r="E278" s="26" t="s">
        <v>1377</v>
      </c>
      <c r="F278" s="26" t="s">
        <v>1733</v>
      </c>
      <c r="G278" s="26" t="s">
        <v>1304</v>
      </c>
      <c r="H278" s="26" t="s">
        <v>1305</v>
      </c>
      <c r="I278" s="26" t="s">
        <v>1306</v>
      </c>
      <c r="J278" s="26" t="s">
        <v>1319</v>
      </c>
    </row>
    <row r="279" spans="1:10" ht="16.5" hidden="1" x14ac:dyDescent="0.2">
      <c r="A279" s="26" t="s">
        <v>1735</v>
      </c>
      <c r="B279" s="26" t="s">
        <v>1299</v>
      </c>
      <c r="C279" s="26" t="s">
        <v>1314</v>
      </c>
      <c r="D279" s="26" t="s">
        <v>1393</v>
      </c>
      <c r="E279" s="26" t="s">
        <v>1377</v>
      </c>
      <c r="F279" s="26" t="s">
        <v>1733</v>
      </c>
      <c r="G279" s="26" t="s">
        <v>1304</v>
      </c>
      <c r="H279" s="26" t="s">
        <v>1305</v>
      </c>
      <c r="I279" s="26" t="s">
        <v>1306</v>
      </c>
      <c r="J279" s="26" t="s">
        <v>1319</v>
      </c>
    </row>
    <row r="280" spans="1:10" ht="16.5" hidden="1" x14ac:dyDescent="0.2">
      <c r="A280" s="26" t="s">
        <v>1736</v>
      </c>
      <c r="B280" s="26" t="s">
        <v>1299</v>
      </c>
      <c r="C280" s="26" t="s">
        <v>1314</v>
      </c>
      <c r="D280" s="26" t="s">
        <v>1393</v>
      </c>
      <c r="E280" s="26" t="s">
        <v>1377</v>
      </c>
      <c r="F280" s="26" t="s">
        <v>1733</v>
      </c>
      <c r="G280" s="26" t="s">
        <v>1304</v>
      </c>
      <c r="H280" s="26" t="s">
        <v>1305</v>
      </c>
      <c r="I280" s="26" t="s">
        <v>1306</v>
      </c>
      <c r="J280" s="26" t="s">
        <v>1319</v>
      </c>
    </row>
    <row r="281" spans="1:10" ht="16.5" hidden="1" x14ac:dyDescent="0.2">
      <c r="A281" s="26" t="s">
        <v>1737</v>
      </c>
      <c r="B281" s="26" t="s">
        <v>1299</v>
      </c>
      <c r="C281" s="26" t="s">
        <v>1314</v>
      </c>
      <c r="D281" s="26" t="s">
        <v>1393</v>
      </c>
      <c r="E281" s="26" t="s">
        <v>1377</v>
      </c>
      <c r="F281" s="26" t="s">
        <v>1733</v>
      </c>
      <c r="G281" s="26" t="s">
        <v>1304</v>
      </c>
      <c r="H281" s="26" t="s">
        <v>1305</v>
      </c>
      <c r="I281" s="26" t="s">
        <v>1306</v>
      </c>
      <c r="J281" s="26" t="s">
        <v>1319</v>
      </c>
    </row>
    <row r="282" spans="1:10" ht="16.5" hidden="1" x14ac:dyDescent="0.2">
      <c r="A282" s="26" t="s">
        <v>1738</v>
      </c>
      <c r="B282" s="26" t="s">
        <v>1299</v>
      </c>
      <c r="C282" s="26" t="s">
        <v>1314</v>
      </c>
      <c r="D282" s="26" t="s">
        <v>1393</v>
      </c>
      <c r="E282" s="26" t="s">
        <v>1377</v>
      </c>
      <c r="F282" s="26" t="s">
        <v>1739</v>
      </c>
      <c r="G282" s="26" t="s">
        <v>1304</v>
      </c>
      <c r="H282" s="26" t="s">
        <v>1305</v>
      </c>
      <c r="I282" s="26" t="s">
        <v>1306</v>
      </c>
      <c r="J282" s="26" t="s">
        <v>1319</v>
      </c>
    </row>
    <row r="283" spans="1:10" ht="16.5" hidden="1" x14ac:dyDescent="0.2">
      <c r="A283" s="26" t="s">
        <v>1740</v>
      </c>
      <c r="B283" s="26" t="s">
        <v>1299</v>
      </c>
      <c r="C283" s="26" t="s">
        <v>1314</v>
      </c>
      <c r="D283" s="26" t="s">
        <v>1393</v>
      </c>
      <c r="E283" s="26" t="s">
        <v>1377</v>
      </c>
      <c r="F283" s="26" t="s">
        <v>1739</v>
      </c>
      <c r="G283" s="26" t="s">
        <v>1304</v>
      </c>
      <c r="H283" s="26" t="s">
        <v>1305</v>
      </c>
      <c r="I283" s="26" t="s">
        <v>1306</v>
      </c>
      <c r="J283" s="26" t="s">
        <v>1319</v>
      </c>
    </row>
    <row r="284" spans="1:10" ht="16.5" hidden="1" x14ac:dyDescent="0.2">
      <c r="A284" s="26" t="s">
        <v>1741</v>
      </c>
      <c r="B284" s="26" t="s">
        <v>1299</v>
      </c>
      <c r="C284" s="26" t="s">
        <v>1314</v>
      </c>
      <c r="D284" s="26" t="s">
        <v>1393</v>
      </c>
      <c r="E284" s="26" t="s">
        <v>1377</v>
      </c>
      <c r="F284" s="26" t="s">
        <v>1739</v>
      </c>
      <c r="G284" s="26" t="s">
        <v>1304</v>
      </c>
      <c r="H284" s="26" t="s">
        <v>1305</v>
      </c>
      <c r="I284" s="26" t="s">
        <v>1306</v>
      </c>
      <c r="J284" s="26" t="s">
        <v>1319</v>
      </c>
    </row>
    <row r="285" spans="1:10" ht="16.5" hidden="1" x14ac:dyDescent="0.2">
      <c r="A285" s="26" t="s">
        <v>1742</v>
      </c>
      <c r="B285" s="26" t="s">
        <v>1299</v>
      </c>
      <c r="C285" s="26" t="s">
        <v>1314</v>
      </c>
      <c r="D285" s="26" t="s">
        <v>1393</v>
      </c>
      <c r="E285" s="26" t="s">
        <v>1377</v>
      </c>
      <c r="F285" s="26" t="s">
        <v>1739</v>
      </c>
      <c r="G285" s="26" t="s">
        <v>1304</v>
      </c>
      <c r="H285" s="26" t="s">
        <v>1305</v>
      </c>
      <c r="I285" s="26" t="s">
        <v>1306</v>
      </c>
      <c r="J285" s="26" t="s">
        <v>1319</v>
      </c>
    </row>
    <row r="286" spans="1:10" ht="16.5" hidden="1" x14ac:dyDescent="0.2">
      <c r="A286" s="26" t="s">
        <v>1743</v>
      </c>
      <c r="B286" s="26" t="s">
        <v>1299</v>
      </c>
      <c r="C286" s="26" t="s">
        <v>1314</v>
      </c>
      <c r="D286" s="26" t="s">
        <v>1393</v>
      </c>
      <c r="E286" s="26" t="s">
        <v>1377</v>
      </c>
      <c r="F286" s="26" t="s">
        <v>1739</v>
      </c>
      <c r="G286" s="26" t="s">
        <v>1304</v>
      </c>
      <c r="H286" s="26" t="s">
        <v>1305</v>
      </c>
      <c r="I286" s="26" t="s">
        <v>1306</v>
      </c>
      <c r="J286" s="26" t="s">
        <v>1319</v>
      </c>
    </row>
    <row r="287" spans="1:10" ht="16.5" hidden="1" x14ac:dyDescent="0.2">
      <c r="A287" s="26" t="s">
        <v>1744</v>
      </c>
      <c r="B287" s="26" t="s">
        <v>1299</v>
      </c>
      <c r="C287" s="26" t="s">
        <v>1314</v>
      </c>
      <c r="D287" s="26" t="s">
        <v>1393</v>
      </c>
      <c r="E287" s="26" t="s">
        <v>1377</v>
      </c>
      <c r="F287" s="26" t="s">
        <v>1745</v>
      </c>
      <c r="G287" s="26" t="s">
        <v>1304</v>
      </c>
      <c r="H287" s="26" t="s">
        <v>1305</v>
      </c>
      <c r="I287" s="26" t="s">
        <v>1306</v>
      </c>
      <c r="J287" s="26" t="s">
        <v>1319</v>
      </c>
    </row>
    <row r="288" spans="1:10" ht="16.5" hidden="1" x14ac:dyDescent="0.2">
      <c r="A288" s="26" t="s">
        <v>1746</v>
      </c>
      <c r="B288" s="26" t="s">
        <v>1299</v>
      </c>
      <c r="C288" s="26" t="s">
        <v>1314</v>
      </c>
      <c r="D288" s="26" t="s">
        <v>1393</v>
      </c>
      <c r="E288" s="26" t="s">
        <v>1377</v>
      </c>
      <c r="F288" s="26" t="s">
        <v>1745</v>
      </c>
      <c r="G288" s="26" t="s">
        <v>1304</v>
      </c>
      <c r="H288" s="26" t="s">
        <v>1305</v>
      </c>
      <c r="I288" s="26" t="s">
        <v>1306</v>
      </c>
      <c r="J288" s="26" t="s">
        <v>1319</v>
      </c>
    </row>
    <row r="289" spans="1:10" ht="16.5" hidden="1" x14ac:dyDescent="0.2">
      <c r="A289" s="26" t="s">
        <v>1747</v>
      </c>
      <c r="B289" s="26" t="s">
        <v>1299</v>
      </c>
      <c r="C289" s="26" t="s">
        <v>1314</v>
      </c>
      <c r="D289" s="26" t="s">
        <v>1393</v>
      </c>
      <c r="E289" s="26" t="s">
        <v>1377</v>
      </c>
      <c r="F289" s="26" t="s">
        <v>1745</v>
      </c>
      <c r="G289" s="26" t="s">
        <v>1304</v>
      </c>
      <c r="H289" s="26" t="s">
        <v>1305</v>
      </c>
      <c r="I289" s="26" t="s">
        <v>1306</v>
      </c>
      <c r="J289" s="26" t="s">
        <v>1319</v>
      </c>
    </row>
    <row r="290" spans="1:10" ht="16.5" hidden="1" x14ac:dyDescent="0.2">
      <c r="A290" s="26" t="s">
        <v>1749</v>
      </c>
      <c r="B290" s="26" t="s">
        <v>1299</v>
      </c>
      <c r="C290" s="26" t="s">
        <v>1314</v>
      </c>
      <c r="D290" s="26" t="s">
        <v>1748</v>
      </c>
      <c r="E290" s="26" t="s">
        <v>1750</v>
      </c>
      <c r="F290" s="26" t="s">
        <v>1751</v>
      </c>
      <c r="G290" s="26" t="s">
        <v>1304</v>
      </c>
      <c r="H290" s="26" t="s">
        <v>1298</v>
      </c>
      <c r="I290" s="26" t="s">
        <v>1298</v>
      </c>
      <c r="J290" s="26" t="s">
        <v>1298</v>
      </c>
    </row>
    <row r="291" spans="1:10" ht="16.5" hidden="1" x14ac:dyDescent="0.2">
      <c r="A291" s="26" t="s">
        <v>1752</v>
      </c>
      <c r="B291" s="26" t="s">
        <v>1299</v>
      </c>
      <c r="C291" s="26" t="s">
        <v>1314</v>
      </c>
      <c r="D291" s="26" t="s">
        <v>1748</v>
      </c>
      <c r="E291" s="26" t="s">
        <v>1750</v>
      </c>
      <c r="F291" s="26" t="s">
        <v>1751</v>
      </c>
      <c r="G291" s="26" t="s">
        <v>1304</v>
      </c>
      <c r="H291" s="26" t="s">
        <v>1298</v>
      </c>
      <c r="I291" s="26" t="s">
        <v>1298</v>
      </c>
      <c r="J291" s="26" t="s">
        <v>1298</v>
      </c>
    </row>
    <row r="292" spans="1:10" ht="16.5" hidden="1" x14ac:dyDescent="0.2">
      <c r="A292" s="26" t="s">
        <v>389</v>
      </c>
      <c r="B292" s="26" t="s">
        <v>1299</v>
      </c>
      <c r="C292" s="26" t="s">
        <v>1314</v>
      </c>
      <c r="D292" s="26" t="s">
        <v>1753</v>
      </c>
      <c r="E292" s="26" t="s">
        <v>1754</v>
      </c>
      <c r="F292" s="26" t="s">
        <v>1755</v>
      </c>
      <c r="G292" s="26" t="s">
        <v>1304</v>
      </c>
      <c r="H292" s="26" t="s">
        <v>1298</v>
      </c>
      <c r="I292" s="26" t="s">
        <v>1298</v>
      </c>
      <c r="J292" s="26" t="s">
        <v>1298</v>
      </c>
    </row>
    <row r="293" spans="1:10" ht="16.5" hidden="1" x14ac:dyDescent="0.2">
      <c r="A293" s="26" t="s">
        <v>1756</v>
      </c>
      <c r="B293" s="26" t="s">
        <v>1299</v>
      </c>
      <c r="C293" s="26" t="s">
        <v>1314</v>
      </c>
      <c r="D293" s="26" t="s">
        <v>1393</v>
      </c>
      <c r="E293" s="26" t="s">
        <v>1564</v>
      </c>
      <c r="F293" s="26" t="s">
        <v>1672</v>
      </c>
      <c r="G293" s="26" t="s">
        <v>1304</v>
      </c>
      <c r="H293" s="26" t="s">
        <v>1305</v>
      </c>
      <c r="I293" s="26" t="s">
        <v>1306</v>
      </c>
      <c r="J293" s="26" t="s">
        <v>1319</v>
      </c>
    </row>
    <row r="294" spans="1:10" ht="16.5" hidden="1" x14ac:dyDescent="0.2">
      <c r="A294" s="26" t="s">
        <v>385</v>
      </c>
      <c r="B294" s="26" t="s">
        <v>1299</v>
      </c>
      <c r="C294" s="26" t="s">
        <v>1314</v>
      </c>
      <c r="D294" s="26" t="s">
        <v>1592</v>
      </c>
      <c r="E294" s="26" t="s">
        <v>1597</v>
      </c>
      <c r="F294" s="26" t="s">
        <v>1757</v>
      </c>
      <c r="G294" s="26" t="s">
        <v>1304</v>
      </c>
      <c r="H294" s="26" t="s">
        <v>1305</v>
      </c>
      <c r="I294" s="26" t="s">
        <v>1306</v>
      </c>
      <c r="J294" s="26" t="s">
        <v>1319</v>
      </c>
    </row>
    <row r="295" spans="1:10" ht="16.5" hidden="1" x14ac:dyDescent="0.2">
      <c r="A295" s="26" t="s">
        <v>383</v>
      </c>
      <c r="B295" s="26" t="s">
        <v>1299</v>
      </c>
      <c r="C295" s="26" t="s">
        <v>1314</v>
      </c>
      <c r="D295" s="26" t="s">
        <v>1393</v>
      </c>
      <c r="E295" s="26" t="s">
        <v>1502</v>
      </c>
      <c r="F295" s="26" t="s">
        <v>1758</v>
      </c>
      <c r="G295" s="26" t="s">
        <v>1304</v>
      </c>
      <c r="H295" s="26" t="s">
        <v>1305</v>
      </c>
      <c r="I295" s="26" t="s">
        <v>1306</v>
      </c>
      <c r="J295" s="26" t="s">
        <v>1319</v>
      </c>
    </row>
    <row r="296" spans="1:10" ht="16.5" hidden="1" x14ac:dyDescent="0.2">
      <c r="A296" s="26" t="s">
        <v>381</v>
      </c>
      <c r="B296" s="26" t="s">
        <v>1299</v>
      </c>
      <c r="C296" s="26" t="s">
        <v>1314</v>
      </c>
      <c r="D296" s="26" t="s">
        <v>1346</v>
      </c>
      <c r="E296" s="26" t="s">
        <v>1395</v>
      </c>
      <c r="F296" s="26" t="s">
        <v>1759</v>
      </c>
      <c r="G296" s="26" t="s">
        <v>1304</v>
      </c>
      <c r="H296" s="26" t="s">
        <v>1305</v>
      </c>
      <c r="I296" s="26" t="s">
        <v>1306</v>
      </c>
      <c r="J296" s="26" t="s">
        <v>1319</v>
      </c>
    </row>
    <row r="297" spans="1:10" ht="16.5" hidden="1" x14ac:dyDescent="0.2">
      <c r="A297" s="26" t="s">
        <v>379</v>
      </c>
      <c r="B297" s="26" t="s">
        <v>1299</v>
      </c>
      <c r="C297" s="26" t="s">
        <v>1314</v>
      </c>
      <c r="D297" s="26" t="s">
        <v>1393</v>
      </c>
      <c r="E297" s="26" t="s">
        <v>1564</v>
      </c>
      <c r="F297" s="26" t="s">
        <v>1760</v>
      </c>
      <c r="G297" s="26" t="s">
        <v>1304</v>
      </c>
      <c r="H297" s="26" t="s">
        <v>1305</v>
      </c>
      <c r="I297" s="26" t="s">
        <v>1306</v>
      </c>
      <c r="J297" s="26" t="s">
        <v>1319</v>
      </c>
    </row>
    <row r="298" spans="1:10" ht="16.5" hidden="1" x14ac:dyDescent="0.2">
      <c r="A298" s="26" t="s">
        <v>377</v>
      </c>
      <c r="B298" s="26" t="s">
        <v>1299</v>
      </c>
      <c r="C298" s="26" t="s">
        <v>1314</v>
      </c>
      <c r="D298" s="26" t="s">
        <v>1346</v>
      </c>
      <c r="E298" s="26" t="s">
        <v>1353</v>
      </c>
      <c r="F298" s="26" t="s">
        <v>1761</v>
      </c>
      <c r="G298" s="26" t="s">
        <v>1304</v>
      </c>
      <c r="H298" s="26" t="s">
        <v>1305</v>
      </c>
      <c r="I298" s="26" t="s">
        <v>1306</v>
      </c>
      <c r="J298" s="26" t="s">
        <v>1319</v>
      </c>
    </row>
    <row r="299" spans="1:10" ht="16.5" hidden="1" x14ac:dyDescent="0.2">
      <c r="A299" s="26" t="s">
        <v>1762</v>
      </c>
      <c r="B299" s="26" t="s">
        <v>1299</v>
      </c>
      <c r="C299" s="26" t="s">
        <v>1314</v>
      </c>
      <c r="D299" s="26" t="s">
        <v>1346</v>
      </c>
      <c r="E299" s="26" t="s">
        <v>1353</v>
      </c>
      <c r="F299" s="26" t="s">
        <v>1672</v>
      </c>
      <c r="G299" s="26" t="s">
        <v>1304</v>
      </c>
      <c r="H299" s="26" t="s">
        <v>1305</v>
      </c>
      <c r="I299" s="26" t="s">
        <v>1306</v>
      </c>
      <c r="J299" s="26" t="s">
        <v>1319</v>
      </c>
    </row>
    <row r="300" spans="1:10" ht="16.5" hidden="1" x14ac:dyDescent="0.2">
      <c r="A300" s="26" t="s">
        <v>1763</v>
      </c>
      <c r="B300" s="26" t="s">
        <v>1299</v>
      </c>
      <c r="C300" s="26" t="s">
        <v>1314</v>
      </c>
      <c r="D300" s="26" t="s">
        <v>1346</v>
      </c>
      <c r="E300" s="26" t="s">
        <v>1353</v>
      </c>
      <c r="F300" s="26" t="s">
        <v>1668</v>
      </c>
      <c r="G300" s="26" t="s">
        <v>1304</v>
      </c>
      <c r="H300" s="26" t="s">
        <v>1305</v>
      </c>
      <c r="I300" s="26" t="s">
        <v>1306</v>
      </c>
      <c r="J300" s="26" t="s">
        <v>1319</v>
      </c>
    </row>
    <row r="301" spans="1:10" ht="16.5" hidden="1" x14ac:dyDescent="0.2">
      <c r="A301" s="26" t="s">
        <v>1764</v>
      </c>
      <c r="B301" s="26" t="s">
        <v>1299</v>
      </c>
      <c r="C301" s="26" t="s">
        <v>1314</v>
      </c>
      <c r="D301" s="26" t="s">
        <v>1346</v>
      </c>
      <c r="E301" s="26" t="s">
        <v>1353</v>
      </c>
      <c r="F301" s="26" t="s">
        <v>1758</v>
      </c>
      <c r="G301" s="26" t="s">
        <v>1304</v>
      </c>
      <c r="H301" s="26" t="s">
        <v>1305</v>
      </c>
      <c r="I301" s="26" t="s">
        <v>1306</v>
      </c>
      <c r="J301" s="26" t="s">
        <v>1319</v>
      </c>
    </row>
    <row r="302" spans="1:10" ht="16.5" hidden="1" x14ac:dyDescent="0.2">
      <c r="A302" s="26" t="s">
        <v>1765</v>
      </c>
      <c r="B302" s="26" t="s">
        <v>1299</v>
      </c>
      <c r="C302" s="26" t="s">
        <v>1314</v>
      </c>
      <c r="D302" s="26" t="s">
        <v>1346</v>
      </c>
      <c r="E302" s="26" t="s">
        <v>1353</v>
      </c>
      <c r="F302" s="26" t="s">
        <v>1758</v>
      </c>
      <c r="G302" s="26" t="s">
        <v>1304</v>
      </c>
      <c r="H302" s="26" t="s">
        <v>1305</v>
      </c>
      <c r="I302" s="26" t="s">
        <v>1306</v>
      </c>
      <c r="J302" s="26" t="s">
        <v>1319</v>
      </c>
    </row>
    <row r="303" spans="1:10" ht="16.5" hidden="1" x14ac:dyDescent="0.2">
      <c r="A303" s="26" t="s">
        <v>1766</v>
      </c>
      <c r="B303" s="26" t="s">
        <v>1299</v>
      </c>
      <c r="C303" s="26" t="s">
        <v>1314</v>
      </c>
      <c r="D303" s="26" t="s">
        <v>1346</v>
      </c>
      <c r="E303" s="26" t="s">
        <v>1353</v>
      </c>
      <c r="F303" s="26" t="s">
        <v>1758</v>
      </c>
      <c r="G303" s="26" t="s">
        <v>1304</v>
      </c>
      <c r="H303" s="26" t="s">
        <v>1305</v>
      </c>
      <c r="I303" s="26" t="s">
        <v>1306</v>
      </c>
      <c r="J303" s="26" t="s">
        <v>1319</v>
      </c>
    </row>
    <row r="304" spans="1:10" ht="16.5" hidden="1" x14ac:dyDescent="0.2">
      <c r="A304" s="26" t="s">
        <v>1767</v>
      </c>
      <c r="B304" s="26" t="s">
        <v>1299</v>
      </c>
      <c r="C304" s="26" t="s">
        <v>1314</v>
      </c>
      <c r="D304" s="26" t="s">
        <v>1346</v>
      </c>
      <c r="E304" s="26" t="s">
        <v>1353</v>
      </c>
      <c r="F304" s="26" t="s">
        <v>1758</v>
      </c>
      <c r="G304" s="26" t="s">
        <v>1304</v>
      </c>
      <c r="H304" s="26" t="s">
        <v>1305</v>
      </c>
      <c r="I304" s="26" t="s">
        <v>1306</v>
      </c>
      <c r="J304" s="26" t="s">
        <v>1319</v>
      </c>
    </row>
    <row r="305" spans="1:10" ht="16.5" hidden="1" x14ac:dyDescent="0.2">
      <c r="A305" s="26" t="s">
        <v>1768</v>
      </c>
      <c r="B305" s="26" t="s">
        <v>1299</v>
      </c>
      <c r="C305" s="26" t="s">
        <v>1314</v>
      </c>
      <c r="D305" s="26" t="s">
        <v>1393</v>
      </c>
      <c r="E305" s="26" t="s">
        <v>1395</v>
      </c>
      <c r="F305" s="26" t="s">
        <v>1769</v>
      </c>
      <c r="G305" s="26" t="s">
        <v>1304</v>
      </c>
      <c r="H305" s="26" t="s">
        <v>1305</v>
      </c>
      <c r="I305" s="26" t="s">
        <v>1306</v>
      </c>
      <c r="J305" s="26" t="s">
        <v>1319</v>
      </c>
    </row>
    <row r="306" spans="1:10" ht="16.5" hidden="1" x14ac:dyDescent="0.2">
      <c r="A306" s="26" t="s">
        <v>1770</v>
      </c>
      <c r="B306" s="26" t="s">
        <v>1299</v>
      </c>
      <c r="C306" s="26" t="s">
        <v>1300</v>
      </c>
      <c r="D306" s="26" t="s">
        <v>1669</v>
      </c>
      <c r="E306" s="26" t="s">
        <v>1456</v>
      </c>
      <c r="F306" s="26" t="s">
        <v>1702</v>
      </c>
      <c r="G306" s="26" t="s">
        <v>1304</v>
      </c>
      <c r="H306" s="26" t="s">
        <v>1298</v>
      </c>
      <c r="I306" s="26" t="s">
        <v>1298</v>
      </c>
      <c r="J306" s="26" t="s">
        <v>1298</v>
      </c>
    </row>
    <row r="307" spans="1:10" ht="16.5" hidden="1" x14ac:dyDescent="0.2">
      <c r="A307" s="26" t="s">
        <v>1771</v>
      </c>
      <c r="B307" s="26" t="s">
        <v>1299</v>
      </c>
      <c r="C307" s="26" t="s">
        <v>1314</v>
      </c>
      <c r="D307" s="26" t="s">
        <v>1346</v>
      </c>
      <c r="E307" s="26" t="s">
        <v>1353</v>
      </c>
      <c r="F307" s="26" t="s">
        <v>1772</v>
      </c>
      <c r="G307" s="26" t="s">
        <v>1304</v>
      </c>
      <c r="H307" s="26" t="s">
        <v>1305</v>
      </c>
      <c r="I307" s="26" t="s">
        <v>1306</v>
      </c>
      <c r="J307" s="26" t="s">
        <v>1319</v>
      </c>
    </row>
    <row r="308" spans="1:10" ht="16.5" hidden="1" x14ac:dyDescent="0.2">
      <c r="A308" s="26" t="s">
        <v>1773</v>
      </c>
      <c r="B308" s="26" t="s">
        <v>1299</v>
      </c>
      <c r="C308" s="26" t="s">
        <v>1314</v>
      </c>
      <c r="D308" s="26" t="s">
        <v>1393</v>
      </c>
      <c r="E308" s="26" t="s">
        <v>1564</v>
      </c>
      <c r="F308" s="26" t="s">
        <v>1761</v>
      </c>
      <c r="G308" s="26" t="s">
        <v>1304</v>
      </c>
      <c r="H308" s="26" t="s">
        <v>1305</v>
      </c>
      <c r="I308" s="26" t="s">
        <v>1306</v>
      </c>
      <c r="J308" s="26" t="s">
        <v>1319</v>
      </c>
    </row>
    <row r="309" spans="1:10" ht="16.5" hidden="1" x14ac:dyDescent="0.2">
      <c r="A309" s="26" t="s">
        <v>1774</v>
      </c>
      <c r="B309" s="26" t="s">
        <v>1299</v>
      </c>
      <c r="C309" s="26" t="s">
        <v>1314</v>
      </c>
      <c r="D309" s="26" t="s">
        <v>1393</v>
      </c>
      <c r="E309" s="26" t="s">
        <v>1564</v>
      </c>
      <c r="F309" s="26" t="s">
        <v>1761</v>
      </c>
      <c r="G309" s="26" t="s">
        <v>1304</v>
      </c>
      <c r="H309" s="26" t="s">
        <v>1305</v>
      </c>
      <c r="I309" s="26" t="s">
        <v>1306</v>
      </c>
      <c r="J309" s="26" t="s">
        <v>1319</v>
      </c>
    </row>
    <row r="310" spans="1:10" ht="16.5" hidden="1" x14ac:dyDescent="0.2">
      <c r="A310" s="26" t="s">
        <v>397</v>
      </c>
      <c r="B310" s="26" t="s">
        <v>1299</v>
      </c>
      <c r="C310" s="26" t="s">
        <v>1314</v>
      </c>
      <c r="D310" s="26" t="s">
        <v>1343</v>
      </c>
      <c r="E310" s="26" t="s">
        <v>1344</v>
      </c>
      <c r="F310" s="26" t="s">
        <v>1702</v>
      </c>
      <c r="G310" s="26" t="s">
        <v>1304</v>
      </c>
      <c r="H310" s="26" t="s">
        <v>1298</v>
      </c>
      <c r="I310" s="26" t="s">
        <v>1298</v>
      </c>
      <c r="J310" s="26" t="s">
        <v>1298</v>
      </c>
    </row>
    <row r="311" spans="1:10" ht="16.5" hidden="1" x14ac:dyDescent="0.2">
      <c r="A311" s="26" t="s">
        <v>1775</v>
      </c>
      <c r="B311" s="26" t="s">
        <v>1299</v>
      </c>
      <c r="C311" s="26" t="s">
        <v>1314</v>
      </c>
      <c r="D311" s="26" t="s">
        <v>1343</v>
      </c>
      <c r="E311" s="26" t="s">
        <v>1344</v>
      </c>
      <c r="F311" s="26" t="s">
        <v>1772</v>
      </c>
      <c r="G311" s="26" t="s">
        <v>1304</v>
      </c>
      <c r="H311" s="26" t="s">
        <v>1298</v>
      </c>
      <c r="I311" s="26" t="s">
        <v>1298</v>
      </c>
      <c r="J311" s="26" t="s">
        <v>1298</v>
      </c>
    </row>
    <row r="312" spans="1:10" ht="16.5" hidden="1" x14ac:dyDescent="0.2">
      <c r="A312" s="26" t="s">
        <v>1776</v>
      </c>
      <c r="B312" s="26" t="s">
        <v>1299</v>
      </c>
      <c r="C312" s="26" t="s">
        <v>1314</v>
      </c>
      <c r="D312" s="26" t="s">
        <v>1583</v>
      </c>
      <c r="E312" s="26" t="s">
        <v>1344</v>
      </c>
      <c r="F312" s="26" t="s">
        <v>1777</v>
      </c>
      <c r="G312" s="26" t="s">
        <v>1304</v>
      </c>
      <c r="H312" s="26" t="s">
        <v>1305</v>
      </c>
      <c r="I312" s="26" t="s">
        <v>1306</v>
      </c>
      <c r="J312" s="26" t="s">
        <v>1586</v>
      </c>
    </row>
    <row r="313" spans="1:10" ht="16.5" hidden="1" x14ac:dyDescent="0.2">
      <c r="A313" s="26" t="s">
        <v>1778</v>
      </c>
      <c r="B313" s="26" t="s">
        <v>1299</v>
      </c>
      <c r="C313" s="26" t="s">
        <v>1314</v>
      </c>
      <c r="D313" s="26" t="s">
        <v>1346</v>
      </c>
      <c r="E313" s="26" t="s">
        <v>1353</v>
      </c>
      <c r="F313" s="26" t="s">
        <v>1779</v>
      </c>
      <c r="G313" s="26" t="s">
        <v>1304</v>
      </c>
      <c r="H313" s="26" t="s">
        <v>1305</v>
      </c>
      <c r="I313" s="26" t="s">
        <v>1306</v>
      </c>
      <c r="J313" s="26" t="s">
        <v>1319</v>
      </c>
    </row>
    <row r="314" spans="1:10" ht="16.5" hidden="1" x14ac:dyDescent="0.2">
      <c r="A314" s="26" t="s">
        <v>1780</v>
      </c>
      <c r="B314" s="26" t="s">
        <v>1299</v>
      </c>
      <c r="C314" s="26" t="s">
        <v>1314</v>
      </c>
      <c r="D314" s="26" t="s">
        <v>1393</v>
      </c>
      <c r="E314" s="26" t="s">
        <v>1564</v>
      </c>
      <c r="F314" s="26" t="s">
        <v>1777</v>
      </c>
      <c r="G314" s="26" t="s">
        <v>1304</v>
      </c>
      <c r="H314" s="26" t="s">
        <v>1305</v>
      </c>
      <c r="I314" s="26" t="s">
        <v>1306</v>
      </c>
      <c r="J314" s="26" t="s">
        <v>1319</v>
      </c>
    </row>
    <row r="315" spans="1:10" ht="16.5" hidden="1" x14ac:dyDescent="0.2">
      <c r="A315" s="26" t="s">
        <v>1781</v>
      </c>
      <c r="B315" s="26" t="s">
        <v>1299</v>
      </c>
      <c r="C315" s="26" t="s">
        <v>1314</v>
      </c>
      <c r="D315" s="26" t="s">
        <v>1393</v>
      </c>
      <c r="E315" s="26" t="s">
        <v>1564</v>
      </c>
      <c r="F315" s="26" t="s">
        <v>1694</v>
      </c>
      <c r="G315" s="26" t="s">
        <v>1304</v>
      </c>
      <c r="H315" s="26" t="s">
        <v>1305</v>
      </c>
      <c r="I315" s="26" t="s">
        <v>1306</v>
      </c>
      <c r="J315" s="26" t="s">
        <v>1319</v>
      </c>
    </row>
    <row r="316" spans="1:10" ht="16.5" hidden="1" x14ac:dyDescent="0.2">
      <c r="A316" s="26" t="s">
        <v>404</v>
      </c>
      <c r="B316" s="26" t="s">
        <v>1299</v>
      </c>
      <c r="C316" s="26" t="s">
        <v>1314</v>
      </c>
      <c r="D316" s="26" t="s">
        <v>1343</v>
      </c>
      <c r="E316" s="26" t="s">
        <v>1344</v>
      </c>
      <c r="F316" s="26" t="s">
        <v>1702</v>
      </c>
      <c r="G316" s="26" t="s">
        <v>1304</v>
      </c>
      <c r="H316" s="26" t="s">
        <v>1298</v>
      </c>
      <c r="I316" s="26" t="s">
        <v>1298</v>
      </c>
      <c r="J316" s="26" t="s">
        <v>1298</v>
      </c>
    </row>
    <row r="317" spans="1:10" ht="16.5" hidden="1" x14ac:dyDescent="0.2">
      <c r="A317" s="26" t="s">
        <v>1782</v>
      </c>
      <c r="B317" s="26" t="s">
        <v>1299</v>
      </c>
      <c r="C317" s="26" t="s">
        <v>1314</v>
      </c>
      <c r="D317" s="26" t="s">
        <v>1393</v>
      </c>
      <c r="E317" s="26" t="s">
        <v>1502</v>
      </c>
      <c r="F317" s="26" t="s">
        <v>1783</v>
      </c>
      <c r="G317" s="26" t="s">
        <v>1304</v>
      </c>
      <c r="H317" s="26" t="s">
        <v>1305</v>
      </c>
      <c r="I317" s="26" t="s">
        <v>1306</v>
      </c>
      <c r="J317" s="26" t="s">
        <v>1319</v>
      </c>
    </row>
    <row r="318" spans="1:10" ht="16.5" hidden="1" x14ac:dyDescent="0.2">
      <c r="A318" s="26" t="s">
        <v>1784</v>
      </c>
      <c r="B318" s="26" t="s">
        <v>1299</v>
      </c>
      <c r="C318" s="26" t="s">
        <v>1314</v>
      </c>
      <c r="D318" s="26" t="s">
        <v>1393</v>
      </c>
      <c r="E318" s="26" t="s">
        <v>1502</v>
      </c>
      <c r="F318" s="26" t="s">
        <v>1783</v>
      </c>
      <c r="G318" s="26" t="s">
        <v>1304</v>
      </c>
      <c r="H318" s="26" t="s">
        <v>1305</v>
      </c>
      <c r="I318" s="26" t="s">
        <v>1306</v>
      </c>
      <c r="J318" s="26" t="s">
        <v>1319</v>
      </c>
    </row>
    <row r="319" spans="1:10" ht="16.5" hidden="1" x14ac:dyDescent="0.2">
      <c r="A319" s="26" t="s">
        <v>416</v>
      </c>
      <c r="B319" s="26" t="s">
        <v>1299</v>
      </c>
      <c r="C319" s="26" t="s">
        <v>1314</v>
      </c>
      <c r="D319" s="26" t="s">
        <v>1343</v>
      </c>
      <c r="E319" s="26" t="s">
        <v>1302</v>
      </c>
      <c r="F319" s="26" t="s">
        <v>1785</v>
      </c>
      <c r="G319" s="26" t="s">
        <v>1304</v>
      </c>
      <c r="H319" s="26" t="s">
        <v>1305</v>
      </c>
      <c r="I319" s="26" t="s">
        <v>1306</v>
      </c>
      <c r="J319" s="26" t="s">
        <v>1307</v>
      </c>
    </row>
    <row r="320" spans="1:10" ht="16.5" hidden="1" x14ac:dyDescent="0.2">
      <c r="A320" s="26" t="s">
        <v>1786</v>
      </c>
      <c r="B320" s="26" t="s">
        <v>1299</v>
      </c>
      <c r="C320" s="26" t="s">
        <v>1314</v>
      </c>
      <c r="D320" s="26" t="s">
        <v>1393</v>
      </c>
      <c r="E320" s="26" t="s">
        <v>1502</v>
      </c>
      <c r="F320" s="26" t="s">
        <v>1777</v>
      </c>
      <c r="G320" s="26" t="s">
        <v>1304</v>
      </c>
      <c r="H320" s="26" t="s">
        <v>1305</v>
      </c>
      <c r="I320" s="26" t="s">
        <v>1306</v>
      </c>
      <c r="J320" s="26" t="s">
        <v>1319</v>
      </c>
    </row>
    <row r="321" spans="1:10" ht="16.5" hidden="1" x14ac:dyDescent="0.2">
      <c r="A321" s="26" t="s">
        <v>1787</v>
      </c>
      <c r="B321" s="26" t="s">
        <v>1413</v>
      </c>
      <c r="C321" s="26" t="s">
        <v>1300</v>
      </c>
      <c r="D321" s="26" t="s">
        <v>1458</v>
      </c>
      <c r="E321" s="26" t="s">
        <v>1390</v>
      </c>
      <c r="F321" s="26" t="s">
        <v>1707</v>
      </c>
      <c r="G321" s="26" t="s">
        <v>1304</v>
      </c>
      <c r="H321" s="26" t="s">
        <v>1298</v>
      </c>
      <c r="I321" s="26" t="s">
        <v>1298</v>
      </c>
      <c r="J321" s="26" t="s">
        <v>1298</v>
      </c>
    </row>
    <row r="322" spans="1:10" ht="16.5" hidden="1" x14ac:dyDescent="0.2">
      <c r="A322" s="26" t="s">
        <v>1788</v>
      </c>
      <c r="B322" s="26" t="s">
        <v>1413</v>
      </c>
      <c r="C322" s="26" t="s">
        <v>1300</v>
      </c>
      <c r="D322" s="26" t="s">
        <v>1458</v>
      </c>
      <c r="E322" s="26" t="s">
        <v>1390</v>
      </c>
      <c r="F322" s="26" t="s">
        <v>1707</v>
      </c>
      <c r="G322" s="26" t="s">
        <v>1304</v>
      </c>
      <c r="H322" s="26" t="s">
        <v>1298</v>
      </c>
      <c r="I322" s="26" t="s">
        <v>1298</v>
      </c>
      <c r="J322" s="26" t="s">
        <v>1298</v>
      </c>
    </row>
    <row r="323" spans="1:10" ht="16.5" hidden="1" x14ac:dyDescent="0.2">
      <c r="A323" s="26" t="s">
        <v>1789</v>
      </c>
      <c r="B323" s="26" t="s">
        <v>1299</v>
      </c>
      <c r="C323" s="26" t="s">
        <v>1314</v>
      </c>
      <c r="D323" s="26" t="s">
        <v>1393</v>
      </c>
      <c r="E323" s="26" t="s">
        <v>1502</v>
      </c>
      <c r="F323" s="26" t="s">
        <v>1777</v>
      </c>
      <c r="G323" s="26" t="s">
        <v>1304</v>
      </c>
      <c r="H323" s="26" t="s">
        <v>1305</v>
      </c>
      <c r="I323" s="26" t="s">
        <v>1306</v>
      </c>
      <c r="J323" s="26" t="s">
        <v>1319</v>
      </c>
    </row>
    <row r="324" spans="1:10" ht="16.5" hidden="1" x14ac:dyDescent="0.2">
      <c r="A324" s="26" t="s">
        <v>1790</v>
      </c>
      <c r="B324" s="26" t="s">
        <v>1299</v>
      </c>
      <c r="C324" s="26" t="s">
        <v>1314</v>
      </c>
      <c r="D324" s="26" t="s">
        <v>1393</v>
      </c>
      <c r="E324" s="26" t="s">
        <v>1395</v>
      </c>
      <c r="F324" s="26" t="s">
        <v>1733</v>
      </c>
      <c r="G324" s="26" t="s">
        <v>1304</v>
      </c>
      <c r="H324" s="26" t="s">
        <v>1305</v>
      </c>
      <c r="I324" s="26" t="s">
        <v>1306</v>
      </c>
      <c r="J324" s="26" t="s">
        <v>1319</v>
      </c>
    </row>
    <row r="325" spans="1:10" ht="16.5" hidden="1" x14ac:dyDescent="0.2">
      <c r="A325" s="26" t="s">
        <v>393</v>
      </c>
      <c r="B325" s="26" t="s">
        <v>1299</v>
      </c>
      <c r="C325" s="26" t="s">
        <v>1314</v>
      </c>
      <c r="D325" s="26" t="s">
        <v>1393</v>
      </c>
      <c r="E325" s="26" t="s">
        <v>1395</v>
      </c>
      <c r="F325" s="26" t="s">
        <v>1745</v>
      </c>
      <c r="G325" s="26" t="s">
        <v>1304</v>
      </c>
      <c r="H325" s="26" t="s">
        <v>1305</v>
      </c>
      <c r="I325" s="26" t="s">
        <v>1306</v>
      </c>
      <c r="J325" s="26" t="s">
        <v>1319</v>
      </c>
    </row>
  </sheetData>
  <autoFilter ref="A1:AA325" xr:uid="{B830FD73-5FD0-4299-ADA7-FEFA3ACF2908}">
    <filterColumn colId="1">
      <filters>
        <filter val="显示器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Sheet3</vt:lpstr>
      <vt:lpstr>Sheet2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2018-10-25T06:24:35Z</dcterms:created>
  <dcterms:modified xsi:type="dcterms:W3CDTF">2018-11-23T08:02:09Z</dcterms:modified>
</cp:coreProperties>
</file>